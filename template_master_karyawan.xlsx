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C:\Users\DELL\Documents\Project Website 2026\org-hr -future\"/>
    </mc:Choice>
  </mc:AlternateContent>
  <xr:revisionPtr revIDLastSave="0" documentId="8_{78604E13-898E-416C-82B4-E84BDC351D31}" xr6:coauthVersionLast="47" xr6:coauthVersionMax="47" xr10:uidLastSave="{00000000-0000-0000-0000-000000000000}"/>
  <bookViews>
    <workbookView xWindow="-120" yWindow="-120" windowWidth="20730" windowHeight="11760" xr2:uid="{5E22032A-2EBA-4B8C-97D4-911431E86856}"/>
  </bookViews>
  <sheets>
    <sheet name="Master_Karyawan" sheetId="1" r:id="rId1"/>
    <sheet name="Fix" sheetId="3" state="hidden" r:id="rId2"/>
    <sheet name="Sheet2" sheetId="2" r:id="rId3"/>
  </sheets>
  <externalReferences>
    <externalReference r:id="rId4"/>
    <externalReference r:id="rId5"/>
  </externalReferenc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51" i="1" l="1"/>
  <c r="F351" i="1"/>
  <c r="L351" i="1"/>
  <c r="M351" i="1"/>
  <c r="S351" i="1"/>
  <c r="D296" i="1"/>
  <c r="F296" i="1"/>
  <c r="L296" i="1"/>
  <c r="M296" i="1"/>
  <c r="S296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M14" i="1"/>
  <c r="L14" i="1"/>
  <c r="F14" i="1"/>
  <c r="D14" i="1"/>
  <c r="D384" i="1"/>
  <c r="F384" i="1"/>
  <c r="L384" i="1"/>
  <c r="M384" i="1"/>
  <c r="F13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293" i="1"/>
  <c r="F295" i="1"/>
  <c r="F294" i="1"/>
  <c r="F292" i="1"/>
  <c r="F291" i="1"/>
  <c r="F290" i="1"/>
  <c r="F289" i="1"/>
  <c r="F288" i="1"/>
  <c r="F282" i="1"/>
  <c r="F281" i="1"/>
  <c r="F280" i="1"/>
  <c r="F279" i="1"/>
  <c r="F278" i="1"/>
  <c r="F277" i="1"/>
  <c r="F266" i="1"/>
  <c r="F276" i="1"/>
  <c r="F275" i="1"/>
  <c r="F274" i="1"/>
  <c r="F273" i="1"/>
  <c r="F272" i="1"/>
  <c r="F271" i="1"/>
  <c r="F270" i="1"/>
  <c r="F269" i="1"/>
  <c r="F268" i="1"/>
  <c r="F267" i="1"/>
  <c r="F265" i="1"/>
  <c r="F264" i="1"/>
  <c r="F263" i="1"/>
  <c r="F287" i="1"/>
  <c r="F286" i="1"/>
  <c r="F285" i="1"/>
  <c r="F284" i="1"/>
  <c r="F283" i="1"/>
  <c r="F262" i="1"/>
  <c r="F261" i="1"/>
  <c r="F260" i="1"/>
  <c r="F259" i="1"/>
  <c r="F258" i="1"/>
  <c r="F257" i="1"/>
  <c r="F251" i="1"/>
  <c r="F250" i="1"/>
  <c r="F212" i="1"/>
  <c r="F249" i="1"/>
  <c r="F248" i="1"/>
  <c r="F247" i="1"/>
  <c r="F246" i="1"/>
  <c r="F245" i="1"/>
  <c r="F244" i="1"/>
  <c r="F243" i="1"/>
  <c r="F241" i="1"/>
  <c r="F242" i="1"/>
  <c r="F232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40" i="1"/>
  <c r="F239" i="1"/>
  <c r="F238" i="1"/>
  <c r="F237" i="1"/>
  <c r="F236" i="1"/>
  <c r="F235" i="1"/>
  <c r="F234" i="1"/>
  <c r="F233" i="1"/>
  <c r="F231" i="1"/>
  <c r="F230" i="1"/>
  <c r="F213" i="1"/>
  <c r="F256" i="1"/>
  <c r="F255" i="1"/>
  <c r="F254" i="1"/>
  <c r="F253" i="1"/>
  <c r="F252" i="1"/>
  <c r="F211" i="1"/>
  <c r="F361" i="1"/>
  <c r="F360" i="1"/>
  <c r="F359" i="1"/>
  <c r="F358" i="1"/>
  <c r="F357" i="1"/>
  <c r="F356" i="1"/>
  <c r="F355" i="1"/>
  <c r="F354" i="1"/>
  <c r="F353" i="1"/>
  <c r="F352" i="1"/>
  <c r="F206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91" i="1"/>
  <c r="F190" i="1"/>
  <c r="F189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68" i="1"/>
  <c r="F205" i="1"/>
  <c r="F210" i="1"/>
  <c r="F167" i="1"/>
  <c r="F166" i="1"/>
  <c r="F165" i="1"/>
  <c r="F209" i="1"/>
  <c r="F208" i="1"/>
  <c r="F207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109" i="1"/>
  <c r="F108" i="1"/>
  <c r="F107" i="1"/>
  <c r="F106" i="1"/>
  <c r="F105" i="1"/>
  <c r="F104" i="1"/>
  <c r="F103" i="1"/>
  <c r="F102" i="1"/>
  <c r="F113" i="1"/>
  <c r="F112" i="1"/>
  <c r="F111" i="1"/>
  <c r="F110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38" i="1"/>
  <c r="F37" i="1"/>
  <c r="F36" i="1"/>
  <c r="F35" i="1"/>
  <c r="F19" i="1"/>
  <c r="F18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7" i="1"/>
  <c r="F16" i="1"/>
  <c r="F15" i="1"/>
  <c r="F350" i="1"/>
  <c r="F349" i="1"/>
  <c r="F348" i="1"/>
  <c r="F347" i="1"/>
  <c r="F328" i="1"/>
  <c r="F327" i="1"/>
  <c r="F326" i="1"/>
  <c r="F325" i="1"/>
  <c r="F324" i="1"/>
  <c r="F338" i="1"/>
  <c r="F337" i="1"/>
  <c r="F336" i="1"/>
  <c r="F335" i="1"/>
  <c r="F334" i="1"/>
  <c r="F333" i="1"/>
  <c r="F332" i="1"/>
  <c r="F331" i="1"/>
  <c r="F330" i="1"/>
  <c r="F329" i="1"/>
  <c r="F310" i="1"/>
  <c r="F341" i="1"/>
  <c r="F340" i="1"/>
  <c r="F339" i="1"/>
  <c r="F309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08" i="1"/>
  <c r="F307" i="1"/>
  <c r="F306" i="1"/>
  <c r="F305" i="1"/>
  <c r="F304" i="1"/>
  <c r="F303" i="1"/>
  <c r="F302" i="1"/>
  <c r="F301" i="1"/>
  <c r="F346" i="1"/>
  <c r="F345" i="1"/>
  <c r="F344" i="1"/>
  <c r="F343" i="1"/>
  <c r="F342" i="1"/>
  <c r="F300" i="1"/>
  <c r="F299" i="1"/>
  <c r="F298" i="1"/>
  <c r="F297" i="1"/>
  <c r="F383" i="1"/>
  <c r="F382" i="1"/>
  <c r="F381" i="1"/>
  <c r="F380" i="1"/>
  <c r="F379" i="1"/>
  <c r="F378" i="1"/>
  <c r="F377" i="1"/>
  <c r="F376" i="1"/>
  <c r="F375" i="1"/>
  <c r="F12" i="1"/>
  <c r="F11" i="1"/>
  <c r="F10" i="1"/>
  <c r="F9" i="1"/>
  <c r="F8" i="1"/>
  <c r="F7" i="1"/>
  <c r="F6" i="1"/>
  <c r="F5" i="1"/>
  <c r="F4" i="1"/>
  <c r="F3" i="1"/>
  <c r="F2" i="1"/>
  <c r="D256" i="1"/>
  <c r="L256" i="1"/>
  <c r="M256" i="1"/>
  <c r="D13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293" i="1"/>
  <c r="D295" i="1"/>
  <c r="D294" i="1"/>
  <c r="D292" i="1"/>
  <c r="D291" i="1"/>
  <c r="D290" i="1"/>
  <c r="D289" i="1"/>
  <c r="D288" i="1"/>
  <c r="D282" i="1"/>
  <c r="D281" i="1"/>
  <c r="D280" i="1"/>
  <c r="D279" i="1"/>
  <c r="D278" i="1"/>
  <c r="D277" i="1"/>
  <c r="D266" i="1"/>
  <c r="D276" i="1"/>
  <c r="D275" i="1"/>
  <c r="D274" i="1"/>
  <c r="D273" i="1"/>
  <c r="D272" i="1"/>
  <c r="D271" i="1"/>
  <c r="D270" i="1"/>
  <c r="D269" i="1"/>
  <c r="D268" i="1"/>
  <c r="D267" i="1"/>
  <c r="D265" i="1"/>
  <c r="D264" i="1"/>
  <c r="D263" i="1"/>
  <c r="D287" i="1"/>
  <c r="D286" i="1"/>
  <c r="D285" i="1"/>
  <c r="D284" i="1"/>
  <c r="D283" i="1"/>
  <c r="D262" i="1"/>
  <c r="D261" i="1"/>
  <c r="D260" i="1"/>
  <c r="D259" i="1"/>
  <c r="D258" i="1"/>
  <c r="D257" i="1"/>
  <c r="D251" i="1"/>
  <c r="D250" i="1"/>
  <c r="D212" i="1"/>
  <c r="D249" i="1"/>
  <c r="D248" i="1"/>
  <c r="D247" i="1"/>
  <c r="D246" i="1"/>
  <c r="D245" i="1"/>
  <c r="D244" i="1"/>
  <c r="D243" i="1"/>
  <c r="D241" i="1"/>
  <c r="D242" i="1"/>
  <c r="D232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40" i="1"/>
  <c r="D239" i="1"/>
  <c r="D238" i="1"/>
  <c r="D237" i="1"/>
  <c r="D236" i="1"/>
  <c r="D235" i="1"/>
  <c r="D234" i="1"/>
  <c r="D233" i="1"/>
  <c r="D231" i="1"/>
  <c r="D230" i="1"/>
  <c r="D213" i="1"/>
  <c r="D255" i="1"/>
  <c r="D254" i="1"/>
  <c r="D253" i="1"/>
  <c r="D252" i="1"/>
  <c r="D211" i="1"/>
  <c r="D361" i="1"/>
  <c r="D360" i="1"/>
  <c r="D359" i="1"/>
  <c r="D358" i="1"/>
  <c r="D357" i="1"/>
  <c r="D356" i="1"/>
  <c r="D355" i="1"/>
  <c r="D354" i="1"/>
  <c r="D353" i="1"/>
  <c r="D352" i="1"/>
  <c r="D206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91" i="1"/>
  <c r="D190" i="1"/>
  <c r="D189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68" i="1"/>
  <c r="D205" i="1"/>
  <c r="D210" i="1"/>
  <c r="D167" i="1"/>
  <c r="D166" i="1"/>
  <c r="D165" i="1"/>
  <c r="D209" i="1"/>
  <c r="D208" i="1"/>
  <c r="D207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109" i="1"/>
  <c r="D108" i="1"/>
  <c r="D107" i="1"/>
  <c r="D106" i="1"/>
  <c r="D105" i="1"/>
  <c r="D104" i="1"/>
  <c r="D103" i="1"/>
  <c r="D102" i="1"/>
  <c r="D113" i="1"/>
  <c r="D112" i="1"/>
  <c r="D111" i="1"/>
  <c r="D110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38" i="1"/>
  <c r="D37" i="1"/>
  <c r="D36" i="1"/>
  <c r="D35" i="1"/>
  <c r="D19" i="1"/>
  <c r="D18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7" i="1"/>
  <c r="D16" i="1"/>
  <c r="D15" i="1"/>
  <c r="D350" i="1"/>
  <c r="D349" i="1"/>
  <c r="D348" i="1"/>
  <c r="D347" i="1"/>
  <c r="D328" i="1"/>
  <c r="D327" i="1"/>
  <c r="D326" i="1"/>
  <c r="D325" i="1"/>
  <c r="D324" i="1"/>
  <c r="D338" i="1"/>
  <c r="D337" i="1"/>
  <c r="D336" i="1"/>
  <c r="D335" i="1"/>
  <c r="D334" i="1"/>
  <c r="D333" i="1"/>
  <c r="D332" i="1"/>
  <c r="D331" i="1"/>
  <c r="D330" i="1"/>
  <c r="D329" i="1"/>
  <c r="D310" i="1"/>
  <c r="D341" i="1"/>
  <c r="D340" i="1"/>
  <c r="D339" i="1"/>
  <c r="D309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08" i="1"/>
  <c r="D307" i="1"/>
  <c r="D306" i="1"/>
  <c r="D305" i="1"/>
  <c r="D304" i="1"/>
  <c r="D303" i="1"/>
  <c r="D302" i="1"/>
  <c r="D301" i="1"/>
  <c r="D346" i="1"/>
  <c r="D345" i="1"/>
  <c r="D344" i="1"/>
  <c r="D343" i="1"/>
  <c r="D342" i="1"/>
  <c r="D300" i="1"/>
  <c r="D299" i="1"/>
  <c r="D298" i="1"/>
  <c r="D297" i="1"/>
  <c r="D383" i="1"/>
  <c r="D382" i="1"/>
  <c r="D381" i="1"/>
  <c r="D380" i="1"/>
  <c r="D379" i="1"/>
  <c r="D378" i="1"/>
  <c r="D377" i="1"/>
  <c r="D376" i="1"/>
  <c r="D375" i="1"/>
  <c r="D12" i="1"/>
  <c r="D11" i="1"/>
  <c r="D10" i="1"/>
  <c r="D9" i="1"/>
  <c r="D8" i="1"/>
  <c r="D7" i="1"/>
  <c r="D6" i="1"/>
  <c r="D5" i="1"/>
  <c r="D4" i="1"/>
  <c r="D3" i="1"/>
  <c r="D2" i="1"/>
  <c r="L13" i="1"/>
  <c r="M13" i="1"/>
  <c r="L4" i="1"/>
  <c r="M4" i="1"/>
  <c r="L8" i="1"/>
  <c r="M8" i="1"/>
  <c r="L210" i="1"/>
  <c r="M210" i="1"/>
  <c r="L231" i="1"/>
  <c r="M231" i="1"/>
  <c r="L383" i="1"/>
  <c r="M383" i="1"/>
  <c r="L382" i="1"/>
  <c r="M382" i="1"/>
  <c r="L381" i="1"/>
  <c r="M381" i="1"/>
  <c r="L380" i="1"/>
  <c r="M380" i="1"/>
  <c r="L379" i="1"/>
  <c r="M379" i="1"/>
  <c r="L378" i="1"/>
  <c r="M378" i="1"/>
  <c r="L377" i="1"/>
  <c r="M377" i="1"/>
  <c r="L376" i="1"/>
  <c r="M376" i="1"/>
  <c r="L375" i="1"/>
  <c r="M375" i="1"/>
  <c r="L374" i="1"/>
  <c r="M374" i="1"/>
  <c r="L373" i="1"/>
  <c r="M373" i="1"/>
  <c r="L372" i="1"/>
  <c r="M372" i="1"/>
  <c r="L371" i="1"/>
  <c r="M371" i="1"/>
  <c r="L369" i="1"/>
  <c r="L370" i="1"/>
  <c r="M369" i="1"/>
  <c r="M370" i="1"/>
  <c r="L368" i="1"/>
  <c r="M368" i="1"/>
  <c r="L367" i="1"/>
  <c r="M367" i="1"/>
  <c r="L366" i="1"/>
  <c r="M366" i="1"/>
  <c r="L365" i="1"/>
  <c r="M365" i="1"/>
  <c r="M364" i="1"/>
  <c r="L364" i="1"/>
  <c r="L363" i="1"/>
  <c r="M363" i="1"/>
  <c r="L362" i="1"/>
  <c r="M362" i="1"/>
  <c r="L293" i="1"/>
  <c r="M293" i="1"/>
  <c r="L295" i="1"/>
  <c r="M295" i="1"/>
  <c r="L294" i="1"/>
  <c r="M294" i="1"/>
  <c r="L289" i="1"/>
  <c r="L290" i="1"/>
  <c r="L291" i="1"/>
  <c r="L292" i="1"/>
  <c r="M289" i="1"/>
  <c r="M290" i="1"/>
  <c r="M291" i="1"/>
  <c r="M292" i="1"/>
  <c r="L288" i="1"/>
  <c r="M288" i="1"/>
  <c r="L281" i="1"/>
  <c r="L282" i="1"/>
  <c r="M281" i="1"/>
  <c r="M282" i="1"/>
  <c r="L280" i="1"/>
  <c r="M280" i="1"/>
  <c r="L278" i="1"/>
  <c r="L279" i="1"/>
  <c r="M278" i="1"/>
  <c r="M279" i="1"/>
  <c r="L277" i="1"/>
  <c r="M277" i="1"/>
  <c r="L266" i="1"/>
  <c r="M266" i="1"/>
  <c r="L268" i="1"/>
  <c r="L269" i="1"/>
  <c r="L270" i="1"/>
  <c r="L271" i="1"/>
  <c r="L272" i="1"/>
  <c r="L273" i="1"/>
  <c r="L274" i="1"/>
  <c r="L275" i="1"/>
  <c r="L276" i="1"/>
  <c r="M268" i="1"/>
  <c r="M269" i="1"/>
  <c r="M270" i="1"/>
  <c r="M271" i="1"/>
  <c r="M272" i="1"/>
  <c r="M273" i="1"/>
  <c r="M274" i="1"/>
  <c r="M275" i="1"/>
  <c r="M276" i="1"/>
  <c r="L267" i="1"/>
  <c r="M267" i="1"/>
  <c r="L265" i="1"/>
  <c r="M265" i="1"/>
  <c r="L264" i="1"/>
  <c r="M264" i="1"/>
  <c r="L263" i="1"/>
  <c r="M263" i="1"/>
  <c r="L284" i="1"/>
  <c r="L285" i="1"/>
  <c r="L286" i="1"/>
  <c r="L287" i="1"/>
  <c r="M284" i="1"/>
  <c r="M285" i="1"/>
  <c r="M286" i="1"/>
  <c r="M287" i="1"/>
  <c r="L283" i="1"/>
  <c r="M283" i="1"/>
  <c r="L261" i="1"/>
  <c r="L262" i="1"/>
  <c r="M261" i="1"/>
  <c r="M262" i="1"/>
  <c r="L260" i="1"/>
  <c r="M260" i="1"/>
  <c r="L259" i="1"/>
  <c r="M259" i="1"/>
  <c r="L258" i="1"/>
  <c r="M258" i="1"/>
  <c r="L257" i="1"/>
  <c r="M257" i="1"/>
  <c r="L251" i="1"/>
  <c r="M251" i="1"/>
  <c r="L250" i="1"/>
  <c r="M250" i="1"/>
  <c r="L212" i="1"/>
  <c r="M212" i="1"/>
  <c r="L247" i="1"/>
  <c r="L248" i="1"/>
  <c r="L249" i="1"/>
  <c r="M247" i="1"/>
  <c r="M248" i="1"/>
  <c r="M249" i="1"/>
  <c r="L246" i="1"/>
  <c r="M246" i="1"/>
  <c r="L241" i="1"/>
  <c r="M241" i="1"/>
  <c r="L242" i="1"/>
  <c r="M242" i="1"/>
  <c r="L232" i="1"/>
  <c r="M232" i="1"/>
  <c r="L244" i="1"/>
  <c r="L245" i="1"/>
  <c r="M244" i="1"/>
  <c r="M245" i="1"/>
  <c r="L243" i="1"/>
  <c r="M243" i="1"/>
  <c r="L228" i="1"/>
  <c r="L229" i="1"/>
  <c r="M229" i="1"/>
  <c r="M228" i="1"/>
  <c r="L224" i="1"/>
  <c r="L225" i="1"/>
  <c r="L226" i="1"/>
  <c r="L227" i="1"/>
  <c r="M224" i="1"/>
  <c r="M225" i="1"/>
  <c r="M226" i="1"/>
  <c r="M227" i="1"/>
  <c r="L223" i="1"/>
  <c r="M223" i="1"/>
  <c r="L215" i="1"/>
  <c r="L216" i="1"/>
  <c r="L217" i="1"/>
  <c r="L218" i="1"/>
  <c r="L219" i="1"/>
  <c r="L220" i="1"/>
  <c r="L221" i="1"/>
  <c r="L222" i="1"/>
  <c r="M215" i="1"/>
  <c r="M216" i="1"/>
  <c r="M217" i="1"/>
  <c r="M218" i="1"/>
  <c r="M219" i="1"/>
  <c r="M220" i="1"/>
  <c r="M221" i="1"/>
  <c r="M222" i="1"/>
  <c r="L214" i="1"/>
  <c r="M214" i="1"/>
  <c r="L234" i="1"/>
  <c r="L235" i="1"/>
  <c r="L236" i="1"/>
  <c r="L237" i="1"/>
  <c r="L238" i="1"/>
  <c r="L239" i="1"/>
  <c r="L240" i="1"/>
  <c r="M234" i="1"/>
  <c r="M235" i="1"/>
  <c r="M236" i="1"/>
  <c r="M237" i="1"/>
  <c r="M238" i="1"/>
  <c r="M239" i="1"/>
  <c r="M240" i="1"/>
  <c r="L233" i="1"/>
  <c r="M233" i="1"/>
  <c r="L230" i="1"/>
  <c r="M230" i="1"/>
  <c r="L213" i="1"/>
  <c r="M213" i="1"/>
  <c r="L253" i="1"/>
  <c r="L254" i="1"/>
  <c r="L255" i="1"/>
  <c r="M253" i="1"/>
  <c r="M254" i="1"/>
  <c r="M255" i="1"/>
  <c r="L252" i="1"/>
  <c r="M252" i="1"/>
  <c r="L211" i="1"/>
  <c r="M211" i="1"/>
  <c r="L361" i="1"/>
  <c r="M361" i="1"/>
  <c r="L360" i="1"/>
  <c r="M360" i="1"/>
  <c r="L358" i="1"/>
  <c r="L359" i="1"/>
  <c r="M358" i="1"/>
  <c r="M359" i="1"/>
  <c r="L356" i="1"/>
  <c r="L357" i="1"/>
  <c r="M356" i="1"/>
  <c r="M357" i="1"/>
  <c r="L355" i="1"/>
  <c r="M355" i="1"/>
  <c r="L354" i="1"/>
  <c r="M354" i="1"/>
  <c r="L353" i="1"/>
  <c r="M353" i="1"/>
  <c r="L352" i="1"/>
  <c r="M352" i="1"/>
  <c r="L324" i="1"/>
  <c r="L325" i="1"/>
  <c r="L326" i="1"/>
  <c r="L327" i="1"/>
  <c r="L328" i="1"/>
  <c r="M324" i="1"/>
  <c r="M325" i="1"/>
  <c r="M326" i="1"/>
  <c r="M327" i="1"/>
  <c r="M328" i="1"/>
  <c r="L310" i="1"/>
  <c r="L329" i="1"/>
  <c r="L330" i="1"/>
  <c r="L331" i="1"/>
  <c r="L332" i="1"/>
  <c r="L333" i="1"/>
  <c r="L334" i="1"/>
  <c r="L335" i="1"/>
  <c r="L336" i="1"/>
  <c r="L337" i="1"/>
  <c r="L338" i="1"/>
  <c r="M310" i="1"/>
  <c r="M329" i="1"/>
  <c r="M330" i="1"/>
  <c r="M331" i="1"/>
  <c r="M332" i="1"/>
  <c r="M333" i="1"/>
  <c r="M334" i="1"/>
  <c r="M335" i="1"/>
  <c r="M336" i="1"/>
  <c r="M337" i="1"/>
  <c r="M338" i="1"/>
  <c r="L309" i="1"/>
  <c r="L339" i="1"/>
  <c r="L340" i="1"/>
  <c r="L341" i="1"/>
  <c r="M309" i="1"/>
  <c r="M339" i="1"/>
  <c r="M340" i="1"/>
  <c r="M341" i="1"/>
  <c r="L321" i="1"/>
  <c r="L322" i="1"/>
  <c r="L323" i="1"/>
  <c r="M321" i="1"/>
  <c r="M322" i="1"/>
  <c r="M323" i="1"/>
  <c r="L312" i="1"/>
  <c r="L313" i="1"/>
  <c r="L314" i="1"/>
  <c r="L315" i="1"/>
  <c r="L316" i="1"/>
  <c r="L317" i="1"/>
  <c r="L318" i="1"/>
  <c r="L319" i="1"/>
  <c r="L320" i="1"/>
  <c r="M312" i="1"/>
  <c r="M313" i="1"/>
  <c r="M314" i="1"/>
  <c r="M315" i="1"/>
  <c r="M316" i="1"/>
  <c r="M317" i="1"/>
  <c r="M318" i="1"/>
  <c r="M319" i="1"/>
  <c r="M320" i="1"/>
  <c r="L311" i="1"/>
  <c r="M311" i="1"/>
  <c r="L308" i="1"/>
  <c r="M308" i="1"/>
  <c r="L307" i="1"/>
  <c r="M307" i="1"/>
  <c r="L306" i="1"/>
  <c r="M306" i="1"/>
  <c r="L342" i="1"/>
  <c r="M342" i="1"/>
  <c r="L346" i="1"/>
  <c r="M346" i="1"/>
  <c r="L344" i="1"/>
  <c r="L345" i="1"/>
  <c r="M344" i="1"/>
  <c r="M345" i="1"/>
  <c r="L343" i="1"/>
  <c r="M343" i="1"/>
  <c r="L301" i="1"/>
  <c r="M301" i="1"/>
  <c r="L303" i="1"/>
  <c r="L304" i="1"/>
  <c r="L305" i="1"/>
  <c r="M303" i="1"/>
  <c r="M304" i="1"/>
  <c r="M305" i="1"/>
  <c r="L302" i="1"/>
  <c r="M302" i="1"/>
  <c r="L348" i="1"/>
  <c r="L349" i="1"/>
  <c r="L350" i="1"/>
  <c r="M348" i="1"/>
  <c r="M349" i="1"/>
  <c r="M350" i="1"/>
  <c r="L347" i="1"/>
  <c r="M347" i="1"/>
  <c r="L300" i="1"/>
  <c r="M300" i="1"/>
  <c r="L299" i="1"/>
  <c r="M299" i="1"/>
  <c r="L297" i="1"/>
  <c r="M297" i="1"/>
  <c r="L298" i="1"/>
  <c r="M298" i="1"/>
  <c r="L206" i="1"/>
  <c r="M206" i="1"/>
  <c r="L205" i="1"/>
  <c r="M205" i="1"/>
  <c r="L186" i="1"/>
  <c r="L187" i="1"/>
  <c r="L188" i="1"/>
  <c r="M186" i="1"/>
  <c r="M187" i="1"/>
  <c r="M188" i="1"/>
  <c r="L185" i="1"/>
  <c r="M185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L169" i="1"/>
  <c r="M169" i="1"/>
  <c r="L190" i="1"/>
  <c r="L191" i="1"/>
  <c r="M190" i="1"/>
  <c r="M191" i="1"/>
  <c r="L189" i="1"/>
  <c r="M189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L168" i="1"/>
  <c r="M168" i="1"/>
  <c r="L167" i="1"/>
  <c r="M167" i="1"/>
  <c r="L166" i="1"/>
  <c r="M166" i="1"/>
  <c r="L165" i="1"/>
  <c r="M165" i="1"/>
  <c r="L207" i="1"/>
  <c r="L208" i="1"/>
  <c r="L209" i="1"/>
  <c r="M207" i="1"/>
  <c r="M208" i="1"/>
  <c r="M209" i="1"/>
  <c r="L164" i="1"/>
  <c r="M164" i="1"/>
  <c r="L157" i="1"/>
  <c r="L158" i="1"/>
  <c r="L159" i="1"/>
  <c r="L160" i="1"/>
  <c r="L161" i="1"/>
  <c r="M157" i="1"/>
  <c r="M158" i="1"/>
  <c r="M159" i="1"/>
  <c r="M160" i="1"/>
  <c r="M161" i="1"/>
  <c r="L156" i="1"/>
  <c r="M156" i="1"/>
  <c r="L154" i="1"/>
  <c r="L155" i="1"/>
  <c r="M154" i="1"/>
  <c r="M155" i="1"/>
  <c r="L153" i="1"/>
  <c r="M153" i="1"/>
  <c r="L149" i="1"/>
  <c r="L150" i="1"/>
  <c r="L151" i="1"/>
  <c r="L152" i="1"/>
  <c r="M149" i="1"/>
  <c r="M150" i="1"/>
  <c r="M151" i="1"/>
  <c r="M152" i="1"/>
  <c r="L148" i="1"/>
  <c r="M148" i="1"/>
  <c r="L140" i="1"/>
  <c r="L141" i="1"/>
  <c r="L142" i="1"/>
  <c r="L143" i="1"/>
  <c r="M140" i="1"/>
  <c r="M141" i="1"/>
  <c r="M142" i="1"/>
  <c r="M143" i="1"/>
  <c r="L139" i="1"/>
  <c r="M139" i="1"/>
  <c r="L116" i="1"/>
  <c r="L117" i="1"/>
  <c r="L118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M116" i="1"/>
  <c r="M117" i="1"/>
  <c r="M118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L115" i="1"/>
  <c r="M115" i="1"/>
  <c r="L144" i="1"/>
  <c r="L145" i="1"/>
  <c r="L146" i="1"/>
  <c r="M144" i="1"/>
  <c r="M145" i="1"/>
  <c r="M146" i="1"/>
  <c r="L147" i="1"/>
  <c r="M147" i="1"/>
  <c r="L114" i="1"/>
  <c r="M114" i="1"/>
  <c r="L86" i="1"/>
  <c r="M86" i="1"/>
  <c r="L85" i="1"/>
  <c r="M85" i="1"/>
  <c r="L119" i="1"/>
  <c r="M119" i="1"/>
  <c r="L40" i="1"/>
  <c r="L47" i="1"/>
  <c r="L48" i="1"/>
  <c r="L49" i="1"/>
  <c r="L41" i="1"/>
  <c r="L50" i="1"/>
  <c r="L42" i="1"/>
  <c r="L43" i="1"/>
  <c r="L44" i="1"/>
  <c r="L51" i="1"/>
  <c r="L52" i="1"/>
  <c r="L53" i="1"/>
  <c r="L45" i="1"/>
  <c r="L54" i="1"/>
  <c r="L55" i="1"/>
  <c r="L56" i="1"/>
  <c r="L57" i="1"/>
  <c r="L46" i="1"/>
  <c r="L58" i="1"/>
  <c r="L59" i="1"/>
  <c r="L60" i="1"/>
  <c r="L61" i="1"/>
  <c r="L69" i="1"/>
  <c r="L62" i="1"/>
  <c r="L63" i="1"/>
  <c r="L64" i="1"/>
  <c r="L70" i="1"/>
  <c r="L71" i="1"/>
  <c r="L72" i="1"/>
  <c r="L73" i="1"/>
  <c r="L65" i="1"/>
  <c r="L74" i="1"/>
  <c r="L75" i="1"/>
  <c r="L76" i="1"/>
  <c r="L66" i="1"/>
  <c r="L77" i="1"/>
  <c r="L78" i="1"/>
  <c r="L67" i="1"/>
  <c r="L68" i="1"/>
  <c r="L79" i="1"/>
  <c r="L80" i="1"/>
  <c r="L87" i="1"/>
  <c r="L88" i="1"/>
  <c r="L89" i="1"/>
  <c r="L90" i="1"/>
  <c r="L91" i="1"/>
  <c r="L92" i="1"/>
  <c r="L93" i="1"/>
  <c r="L81" i="1"/>
  <c r="L82" i="1"/>
  <c r="L83" i="1"/>
  <c r="L94" i="1"/>
  <c r="L8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M40" i="1"/>
  <c r="M47" i="1"/>
  <c r="M48" i="1"/>
  <c r="M49" i="1"/>
  <c r="M41" i="1"/>
  <c r="M50" i="1"/>
  <c r="M42" i="1"/>
  <c r="M43" i="1"/>
  <c r="M44" i="1"/>
  <c r="M51" i="1"/>
  <c r="M52" i="1"/>
  <c r="M53" i="1"/>
  <c r="M45" i="1"/>
  <c r="M54" i="1"/>
  <c r="M55" i="1"/>
  <c r="M56" i="1"/>
  <c r="M57" i="1"/>
  <c r="M46" i="1"/>
  <c r="M58" i="1"/>
  <c r="M59" i="1"/>
  <c r="M60" i="1"/>
  <c r="M61" i="1"/>
  <c r="M69" i="1"/>
  <c r="M62" i="1"/>
  <c r="M63" i="1"/>
  <c r="M64" i="1"/>
  <c r="M70" i="1"/>
  <c r="M71" i="1"/>
  <c r="M72" i="1"/>
  <c r="M73" i="1"/>
  <c r="M65" i="1"/>
  <c r="M74" i="1"/>
  <c r="M75" i="1"/>
  <c r="M76" i="1"/>
  <c r="M66" i="1"/>
  <c r="M77" i="1"/>
  <c r="M78" i="1"/>
  <c r="M67" i="1"/>
  <c r="M68" i="1"/>
  <c r="M79" i="1"/>
  <c r="M80" i="1"/>
  <c r="M87" i="1"/>
  <c r="M88" i="1"/>
  <c r="M89" i="1"/>
  <c r="M90" i="1"/>
  <c r="M91" i="1"/>
  <c r="M92" i="1"/>
  <c r="M93" i="1"/>
  <c r="M81" i="1"/>
  <c r="M82" i="1"/>
  <c r="M83" i="1"/>
  <c r="M94" i="1"/>
  <c r="M8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L39" i="1"/>
  <c r="M39" i="1"/>
  <c r="L36" i="1"/>
  <c r="L37" i="1"/>
  <c r="L38" i="1"/>
  <c r="L110" i="1"/>
  <c r="L111" i="1"/>
  <c r="L112" i="1"/>
  <c r="L113" i="1"/>
  <c r="M36" i="1"/>
  <c r="M37" i="1"/>
  <c r="M38" i="1"/>
  <c r="M110" i="1"/>
  <c r="M111" i="1"/>
  <c r="M112" i="1"/>
  <c r="M113" i="1"/>
  <c r="L35" i="1"/>
  <c r="M35" i="1"/>
  <c r="M2" i="1"/>
  <c r="M3" i="1"/>
  <c r="M7" i="1"/>
  <c r="M9" i="1"/>
  <c r="M10" i="1"/>
  <c r="M6" i="1"/>
  <c r="M5" i="1"/>
  <c r="M12" i="1"/>
  <c r="M11" i="1"/>
  <c r="M15" i="1"/>
  <c r="M16" i="1"/>
  <c r="M162" i="1"/>
  <c r="M163" i="1"/>
  <c r="M17" i="1"/>
  <c r="M18" i="1"/>
  <c r="M19" i="1"/>
  <c r="M24" i="1"/>
  <c r="M25" i="1"/>
  <c r="M26" i="1"/>
  <c r="M27" i="1"/>
  <c r="M28" i="1"/>
  <c r="M29" i="1"/>
  <c r="M30" i="1"/>
  <c r="M20" i="1"/>
  <c r="M21" i="1"/>
  <c r="M22" i="1"/>
  <c r="M23" i="1"/>
  <c r="M31" i="1"/>
  <c r="M32" i="1"/>
  <c r="M33" i="1"/>
  <c r="M34" i="1"/>
  <c r="L2" i="1"/>
  <c r="L3" i="1"/>
  <c r="L7" i="1"/>
  <c r="L9" i="1"/>
  <c r="L10" i="1"/>
  <c r="L6" i="1"/>
  <c r="L12" i="1"/>
  <c r="L11" i="1"/>
  <c r="L15" i="1"/>
  <c r="L16" i="1"/>
  <c r="L18" i="1"/>
  <c r="L19" i="1"/>
  <c r="L17" i="1"/>
  <c r="L24" i="1"/>
  <c r="L25" i="1"/>
  <c r="L26" i="1"/>
  <c r="L27" i="1"/>
  <c r="L28" i="1"/>
  <c r="L29" i="1"/>
  <c r="L30" i="1"/>
  <c r="L20" i="1"/>
  <c r="L21" i="1"/>
  <c r="L22" i="1"/>
  <c r="L23" i="1"/>
  <c r="L31" i="1"/>
  <c r="L32" i="1"/>
  <c r="L33" i="1"/>
  <c r="L34" i="1"/>
  <c r="L162" i="1"/>
  <c r="L163" i="1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33" i="3"/>
  <c r="J105" i="3"/>
  <c r="J106" i="3"/>
  <c r="J107" i="3"/>
  <c r="J108" i="3"/>
  <c r="J109" i="3"/>
  <c r="J135" i="3"/>
  <c r="J136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4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H356" i="3"/>
  <c r="H355" i="3"/>
  <c r="H354" i="3"/>
  <c r="H353" i="3"/>
  <c r="I352" i="3"/>
  <c r="H352" i="3"/>
  <c r="H351" i="3"/>
  <c r="H350" i="3"/>
  <c r="H349" i="3"/>
  <c r="H348" i="3"/>
  <c r="H347" i="3"/>
  <c r="I346" i="3"/>
  <c r="H346" i="3"/>
  <c r="I345" i="3"/>
  <c r="H345" i="3"/>
  <c r="H344" i="3"/>
  <c r="H343" i="3"/>
  <c r="H342" i="3"/>
  <c r="I341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4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36" i="3"/>
  <c r="H135" i="3"/>
  <c r="H109" i="3"/>
  <c r="H108" i="3"/>
  <c r="H107" i="3"/>
  <c r="H106" i="3"/>
  <c r="H105" i="3"/>
  <c r="H133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I32" i="3"/>
  <c r="H32" i="3"/>
  <c r="I31" i="3"/>
  <c r="H31" i="3"/>
  <c r="I30" i="3"/>
  <c r="H30" i="3"/>
  <c r="I29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I5" i="3"/>
  <c r="H5" i="3"/>
  <c r="I4" i="3"/>
  <c r="H4" i="3"/>
  <c r="H3" i="3"/>
  <c r="H2" i="3"/>
  <c r="O351" i="1" l="1"/>
  <c r="O296" i="1"/>
  <c r="O14" i="1"/>
  <c r="O384" i="1"/>
  <c r="O256" i="1"/>
  <c r="O13" i="1"/>
  <c r="O4" i="1"/>
  <c r="O8" i="1"/>
  <c r="O210" i="1"/>
  <c r="O231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68" i="1"/>
  <c r="O369" i="1"/>
  <c r="O370" i="1"/>
  <c r="O367" i="1"/>
  <c r="O366" i="1"/>
  <c r="O365" i="1"/>
  <c r="O364" i="1"/>
  <c r="O363" i="1"/>
  <c r="O362" i="1"/>
  <c r="O293" i="1"/>
  <c r="O295" i="1"/>
  <c r="O294" i="1"/>
  <c r="O288" i="1"/>
  <c r="O289" i="1"/>
  <c r="O290" i="1"/>
  <c r="O292" i="1"/>
  <c r="O291" i="1"/>
  <c r="O282" i="1"/>
  <c r="O281" i="1"/>
  <c r="O280" i="1"/>
  <c r="O279" i="1"/>
  <c r="O278" i="1"/>
  <c r="O277" i="1"/>
  <c r="O266" i="1"/>
  <c r="O268" i="1"/>
  <c r="O270" i="1"/>
  <c r="O273" i="1"/>
  <c r="O275" i="1"/>
  <c r="O272" i="1"/>
  <c r="O276" i="1"/>
  <c r="O269" i="1"/>
  <c r="O271" i="1"/>
  <c r="O274" i="1"/>
  <c r="O267" i="1"/>
  <c r="O265" i="1"/>
  <c r="O264" i="1"/>
  <c r="O263" i="1"/>
  <c r="O283" i="1"/>
  <c r="O284" i="1"/>
  <c r="O285" i="1"/>
  <c r="O287" i="1"/>
  <c r="O286" i="1"/>
  <c r="O261" i="1"/>
  <c r="O262" i="1"/>
  <c r="O260" i="1"/>
  <c r="O259" i="1"/>
  <c r="O258" i="1"/>
  <c r="O257" i="1"/>
  <c r="O251" i="1"/>
  <c r="O250" i="1"/>
  <c r="O212" i="1"/>
  <c r="O247" i="1"/>
  <c r="O248" i="1"/>
  <c r="O249" i="1"/>
  <c r="O246" i="1"/>
  <c r="O241" i="1"/>
  <c r="O242" i="1"/>
  <c r="O232" i="1"/>
  <c r="O243" i="1"/>
  <c r="O244" i="1"/>
  <c r="O245" i="1"/>
  <c r="O229" i="1"/>
  <c r="O228" i="1"/>
  <c r="O224" i="1"/>
  <c r="O225" i="1"/>
  <c r="O226" i="1"/>
  <c r="O227" i="1"/>
  <c r="O223" i="1"/>
  <c r="O214" i="1"/>
  <c r="O215" i="1"/>
  <c r="O216" i="1"/>
  <c r="O218" i="1"/>
  <c r="O219" i="1"/>
  <c r="O222" i="1"/>
  <c r="O220" i="1"/>
  <c r="O217" i="1"/>
  <c r="O221" i="1"/>
  <c r="O234" i="1"/>
  <c r="O236" i="1"/>
  <c r="O238" i="1"/>
  <c r="O240" i="1"/>
  <c r="O235" i="1"/>
  <c r="O239" i="1"/>
  <c r="O237" i="1"/>
  <c r="O233" i="1"/>
  <c r="O230" i="1"/>
  <c r="O213" i="1"/>
  <c r="O252" i="1"/>
  <c r="O253" i="1"/>
  <c r="O255" i="1"/>
  <c r="O254" i="1"/>
  <c r="O211" i="1"/>
  <c r="O361" i="1"/>
  <c r="O360" i="1"/>
  <c r="O358" i="1"/>
  <c r="O359" i="1"/>
  <c r="O356" i="1"/>
  <c r="O357" i="1"/>
  <c r="O355" i="1"/>
  <c r="O354" i="1"/>
  <c r="O353" i="1"/>
  <c r="O352" i="1"/>
  <c r="O327" i="1"/>
  <c r="O325" i="1"/>
  <c r="O328" i="1"/>
  <c r="O326" i="1"/>
  <c r="O324" i="1"/>
  <c r="O334" i="1"/>
  <c r="O337" i="1"/>
  <c r="O330" i="1"/>
  <c r="O331" i="1"/>
  <c r="O310" i="1"/>
  <c r="O329" i="1"/>
  <c r="O332" i="1"/>
  <c r="O335" i="1"/>
  <c r="O336" i="1"/>
  <c r="O333" i="1"/>
  <c r="O338" i="1"/>
  <c r="O339" i="1"/>
  <c r="O341" i="1"/>
  <c r="O309" i="1"/>
  <c r="O340" i="1"/>
  <c r="O323" i="1"/>
  <c r="O321" i="1"/>
  <c r="O322" i="1"/>
  <c r="O311" i="1"/>
  <c r="O316" i="1"/>
  <c r="O312" i="1"/>
  <c r="O313" i="1"/>
  <c r="O315" i="1"/>
  <c r="O320" i="1"/>
  <c r="O318" i="1"/>
  <c r="O314" i="1"/>
  <c r="O319" i="1"/>
  <c r="O317" i="1"/>
  <c r="O308" i="1"/>
  <c r="O307" i="1"/>
  <c r="O306" i="1"/>
  <c r="O342" i="1"/>
  <c r="O346" i="1"/>
  <c r="O343" i="1"/>
  <c r="O344" i="1"/>
  <c r="O345" i="1"/>
  <c r="O301" i="1"/>
  <c r="O302" i="1"/>
  <c r="O303" i="1"/>
  <c r="O304" i="1"/>
  <c r="O305" i="1"/>
  <c r="O349" i="1"/>
  <c r="O348" i="1"/>
  <c r="O350" i="1"/>
  <c r="O347" i="1"/>
  <c r="O300" i="1"/>
  <c r="O297" i="1"/>
  <c r="O299" i="1"/>
  <c r="O298" i="1"/>
  <c r="O206" i="1"/>
  <c r="O205" i="1"/>
  <c r="O185" i="1"/>
  <c r="O186" i="1"/>
  <c r="O187" i="1"/>
  <c r="O188" i="1"/>
  <c r="O169" i="1"/>
  <c r="O180" i="1"/>
  <c r="O170" i="1"/>
  <c r="O173" i="1"/>
  <c r="O176" i="1"/>
  <c r="O181" i="1"/>
  <c r="O184" i="1"/>
  <c r="O171" i="1"/>
  <c r="O175" i="1"/>
  <c r="O179" i="1"/>
  <c r="O183" i="1"/>
  <c r="O178" i="1"/>
  <c r="O172" i="1"/>
  <c r="O174" i="1"/>
  <c r="O177" i="1"/>
  <c r="O182" i="1"/>
  <c r="O189" i="1"/>
  <c r="O191" i="1"/>
  <c r="O190" i="1"/>
  <c r="O168" i="1"/>
  <c r="O200" i="1"/>
  <c r="O196" i="1"/>
  <c r="O203" i="1"/>
  <c r="O193" i="1"/>
  <c r="O194" i="1"/>
  <c r="O197" i="1"/>
  <c r="O202" i="1"/>
  <c r="O192" i="1"/>
  <c r="O195" i="1"/>
  <c r="O198" i="1"/>
  <c r="O201" i="1"/>
  <c r="O204" i="1"/>
  <c r="O199" i="1"/>
  <c r="O167" i="1"/>
  <c r="O166" i="1"/>
  <c r="O165" i="1"/>
  <c r="O164" i="1"/>
  <c r="O209" i="1"/>
  <c r="O208" i="1"/>
  <c r="O207" i="1"/>
  <c r="O156" i="1"/>
  <c r="O157" i="1"/>
  <c r="O159" i="1"/>
  <c r="O161" i="1"/>
  <c r="O158" i="1"/>
  <c r="O160" i="1"/>
  <c r="O153" i="1"/>
  <c r="O154" i="1"/>
  <c r="O155" i="1"/>
  <c r="O148" i="1"/>
  <c r="O150" i="1"/>
  <c r="O151" i="1"/>
  <c r="O149" i="1"/>
  <c r="O152" i="1"/>
  <c r="O139" i="1"/>
  <c r="O140" i="1"/>
  <c r="O141" i="1"/>
  <c r="O142" i="1"/>
  <c r="O143" i="1"/>
  <c r="O115" i="1"/>
  <c r="O121" i="1"/>
  <c r="O127" i="1"/>
  <c r="O129" i="1"/>
  <c r="O135" i="1"/>
  <c r="O124" i="1"/>
  <c r="O131" i="1"/>
  <c r="O136" i="1"/>
  <c r="O118" i="1"/>
  <c r="O126" i="1"/>
  <c r="O130" i="1"/>
  <c r="O116" i="1"/>
  <c r="O117" i="1"/>
  <c r="O120" i="1"/>
  <c r="O125" i="1"/>
  <c r="O128" i="1"/>
  <c r="O133" i="1"/>
  <c r="O137" i="1"/>
  <c r="O122" i="1"/>
  <c r="O132" i="1"/>
  <c r="O138" i="1"/>
  <c r="O123" i="1"/>
  <c r="O134" i="1"/>
  <c r="O144" i="1"/>
  <c r="O145" i="1"/>
  <c r="O146" i="1"/>
  <c r="O114" i="1"/>
  <c r="O147" i="1"/>
  <c r="O86" i="1"/>
  <c r="O85" i="1"/>
  <c r="O119" i="1"/>
  <c r="O39" i="1"/>
  <c r="O48" i="1"/>
  <c r="O43" i="1"/>
  <c r="O53" i="1"/>
  <c r="O55" i="1"/>
  <c r="O58" i="1"/>
  <c r="O69" i="1"/>
  <c r="O70" i="1"/>
  <c r="O74" i="1"/>
  <c r="O78" i="1"/>
  <c r="O80" i="1"/>
  <c r="O91" i="1"/>
  <c r="O81" i="1"/>
  <c r="O84" i="1"/>
  <c r="O99" i="1"/>
  <c r="O102" i="1"/>
  <c r="O105" i="1"/>
  <c r="O40" i="1"/>
  <c r="O41" i="1"/>
  <c r="O50" i="1"/>
  <c r="O51" i="1"/>
  <c r="O45" i="1"/>
  <c r="O56" i="1"/>
  <c r="O59" i="1"/>
  <c r="O62" i="1"/>
  <c r="O71" i="1"/>
  <c r="O65" i="1"/>
  <c r="O66" i="1"/>
  <c r="O68" i="1"/>
  <c r="O89" i="1"/>
  <c r="O93" i="1"/>
  <c r="O94" i="1"/>
  <c r="O96" i="1"/>
  <c r="O100" i="1"/>
  <c r="O104" i="1"/>
  <c r="O108" i="1"/>
  <c r="O47" i="1"/>
  <c r="O42" i="1"/>
  <c r="O52" i="1"/>
  <c r="O46" i="1"/>
  <c r="O61" i="1"/>
  <c r="O63" i="1"/>
  <c r="O72" i="1"/>
  <c r="O75" i="1"/>
  <c r="O77" i="1"/>
  <c r="O79" i="1"/>
  <c r="O88" i="1"/>
  <c r="O92" i="1"/>
  <c r="O83" i="1"/>
  <c r="O97" i="1"/>
  <c r="O101" i="1"/>
  <c r="O107" i="1"/>
  <c r="O49" i="1"/>
  <c r="O44" i="1"/>
  <c r="O54" i="1"/>
  <c r="O57" i="1"/>
  <c r="O60" i="1"/>
  <c r="O64" i="1"/>
  <c r="O73" i="1"/>
  <c r="O76" i="1"/>
  <c r="O67" i="1"/>
  <c r="O87" i="1"/>
  <c r="O90" i="1"/>
  <c r="O82" i="1"/>
  <c r="O95" i="1"/>
  <c r="O98" i="1"/>
  <c r="O103" i="1"/>
  <c r="O106" i="1"/>
  <c r="O109" i="1"/>
  <c r="O35" i="1"/>
  <c r="O36" i="1"/>
  <c r="O112" i="1"/>
  <c r="O111" i="1"/>
  <c r="O113" i="1"/>
  <c r="O37" i="1"/>
  <c r="O38" i="1"/>
  <c r="O110" i="1"/>
  <c r="O9" i="1"/>
  <c r="O12" i="1"/>
  <c r="O19" i="1"/>
  <c r="O28" i="1"/>
  <c r="O22" i="1"/>
  <c r="O163" i="1"/>
  <c r="O2" i="1"/>
  <c r="O5" i="1"/>
  <c r="O17" i="1"/>
  <c r="O29" i="1"/>
  <c r="O23" i="1"/>
  <c r="O6" i="1"/>
  <c r="O16" i="1"/>
  <c r="O25" i="1"/>
  <c r="O30" i="1"/>
  <c r="O32" i="1"/>
  <c r="O3" i="1"/>
  <c r="O11" i="1"/>
  <c r="O24" i="1"/>
  <c r="O31" i="1"/>
  <c r="O162" i="1"/>
  <c r="O10" i="1"/>
  <c r="O18" i="1"/>
  <c r="O27" i="1"/>
  <c r="O21" i="1"/>
  <c r="O34" i="1"/>
  <c r="O7" i="1"/>
  <c r="O15" i="1"/>
  <c r="O26" i="1"/>
  <c r="O20" i="1"/>
  <c r="O33" i="1"/>
</calcChain>
</file>

<file path=xl/sharedStrings.xml><?xml version="1.0" encoding="utf-8"?>
<sst xmlns="http://schemas.openxmlformats.org/spreadsheetml/2006/main" count="7008" uniqueCount="1363">
  <si>
    <t>ID Karyawan</t>
  </si>
  <si>
    <t>Nama Karyawan</t>
  </si>
  <si>
    <t>Tgl Lahir</t>
  </si>
  <si>
    <t>Usia</t>
  </si>
  <si>
    <t>Tgl Join</t>
  </si>
  <si>
    <t>Masa Kerja</t>
  </si>
  <si>
    <t>Jabatan / Posisi</t>
  </si>
  <si>
    <t>Departemen</t>
  </si>
  <si>
    <t>Sub-Departemen</t>
  </si>
  <si>
    <t>Section</t>
  </si>
  <si>
    <t>Unit</t>
  </si>
  <si>
    <t>Hierarchy</t>
  </si>
  <si>
    <t>Kode Posisi</t>
  </si>
  <si>
    <t>Atasan</t>
  </si>
  <si>
    <t>Kode Atasan Direct</t>
  </si>
  <si>
    <t>Status Keanggotaan</t>
  </si>
  <si>
    <t>Status Karyawan</t>
  </si>
  <si>
    <t>Email</t>
  </si>
  <si>
    <t>Lokasi Kerja</t>
  </si>
  <si>
    <t>Pendidikan Terakhir</t>
  </si>
  <si>
    <t>Jurusan</t>
  </si>
  <si>
    <t>Alamater</t>
  </si>
  <si>
    <t>ACI-001</t>
  </si>
  <si>
    <t>Adrian Lim</t>
  </si>
  <si>
    <t/>
  </si>
  <si>
    <t>Komisaris Utama</t>
  </si>
  <si>
    <t>BOC</t>
  </si>
  <si>
    <t>Primary</t>
  </si>
  <si>
    <t>ACI-002</t>
  </si>
  <si>
    <t>Reginald Josiah Hamdani</t>
  </si>
  <si>
    <t>Komisaris</t>
  </si>
  <si>
    <t>ACI-007</t>
  </si>
  <si>
    <t>Koji Kato</t>
  </si>
  <si>
    <t>ACI-003</t>
  </si>
  <si>
    <t>Theodorus Wiryawan</t>
  </si>
  <si>
    <t>CEO / President Director</t>
  </si>
  <si>
    <t>CEO</t>
  </si>
  <si>
    <t>00906</t>
  </si>
  <si>
    <t>Moenardji Soedargo</t>
  </si>
  <si>
    <t>COO / Vice President Director</t>
  </si>
  <si>
    <t>BOD</t>
  </si>
  <si>
    <t>S1</t>
  </si>
  <si>
    <t>ACI-005</t>
  </si>
  <si>
    <t>Andreas Subekti</t>
  </si>
  <si>
    <t>Direktur</t>
  </si>
  <si>
    <t>ACI-006</t>
  </si>
  <si>
    <t>Natsuki Okamoto</t>
  </si>
  <si>
    <t>00904</t>
  </si>
  <si>
    <t>Hutama Sugandhi</t>
  </si>
  <si>
    <t>00084</t>
  </si>
  <si>
    <t>Inge Elanda</t>
  </si>
  <si>
    <t>70915</t>
  </si>
  <si>
    <t>Daryan Sugandhi</t>
  </si>
  <si>
    <t>Assistant Manager - Business Development</t>
  </si>
  <si>
    <t>CEO Office</t>
  </si>
  <si>
    <t>00903</t>
  </si>
  <si>
    <t>Johanes Irsan</t>
  </si>
  <si>
    <t>Assistant to CEO</t>
  </si>
  <si>
    <t>Internal Consultant</t>
  </si>
  <si>
    <t>Advisors &amp; Internal Consultants</t>
  </si>
  <si>
    <t>VP</t>
  </si>
  <si>
    <t>Production &amp; Engineering</t>
  </si>
  <si>
    <t>Concurrent</t>
  </si>
  <si>
    <t>00751</t>
  </si>
  <si>
    <t>Roy Jr. Gan</t>
  </si>
  <si>
    <t>AVP</t>
  </si>
  <si>
    <t>20933</t>
  </si>
  <si>
    <t>Manager</t>
  </si>
  <si>
    <t>Production</t>
  </si>
  <si>
    <t>20014</t>
  </si>
  <si>
    <t>M Basuni</t>
  </si>
  <si>
    <t>Section Head</t>
  </si>
  <si>
    <t>Roaster</t>
  </si>
  <si>
    <t>Production &amp; Engineering/Production</t>
  </si>
  <si>
    <t>SMA / SMK</t>
  </si>
  <si>
    <t>20153</t>
  </si>
  <si>
    <t>Suyari</t>
  </si>
  <si>
    <t>Supervisor</t>
  </si>
  <si>
    <t>Production &amp; Engineering/Production/Roaster</t>
  </si>
  <si>
    <t>Mesin</t>
  </si>
  <si>
    <t>SMK YPM 1 TAMAN</t>
  </si>
  <si>
    <t>60448</t>
  </si>
  <si>
    <t>Prihantoro</t>
  </si>
  <si>
    <t>Ekonomi Managemen</t>
  </si>
  <si>
    <t>Universitas Merdeka Surabaya</t>
  </si>
  <si>
    <t>20397</t>
  </si>
  <si>
    <t>Syeh Afi Alydrus</t>
  </si>
  <si>
    <t>Operator</t>
  </si>
  <si>
    <t>Instant Coffee Roaster</t>
  </si>
  <si>
    <t>Production &amp; Engineering/Production/Roaster/Roaster</t>
  </si>
  <si>
    <t>YPM Taman Sidoarjo</t>
  </si>
  <si>
    <t>20257</t>
  </si>
  <si>
    <t>Dwi Yuli Priyanto</t>
  </si>
  <si>
    <t>20650</t>
  </si>
  <si>
    <t>Adi Biantoro</t>
  </si>
  <si>
    <t xml:space="preserve">Teknik elektro </t>
  </si>
  <si>
    <t>20758</t>
  </si>
  <si>
    <t>Rizky Agung Wahyuadi</t>
  </si>
  <si>
    <t>Group Leader (Pjs.)</t>
  </si>
  <si>
    <t>20175</t>
  </si>
  <si>
    <t>Sunaryo</t>
  </si>
  <si>
    <t>Group Leader</t>
  </si>
  <si>
    <t>20353</t>
  </si>
  <si>
    <t>Sihabuddin</t>
  </si>
  <si>
    <t>mesin</t>
  </si>
  <si>
    <t>20344</t>
  </si>
  <si>
    <t>Agus Wahyudi</t>
  </si>
  <si>
    <t>20157</t>
  </si>
  <si>
    <t>Tatok Iswanto</t>
  </si>
  <si>
    <t>MESIN</t>
  </si>
  <si>
    <t>SMK RADEN PATAH MOJOKERTO</t>
  </si>
  <si>
    <t>20333</t>
  </si>
  <si>
    <t>Burhanuddin</t>
  </si>
  <si>
    <t>KIMIA INDUSTRI</t>
  </si>
  <si>
    <t>STM KIMIA INDUSTRI MALANG</t>
  </si>
  <si>
    <t>20878</t>
  </si>
  <si>
    <t>Khoirul Arifin</t>
  </si>
  <si>
    <t>Manajemen</t>
  </si>
  <si>
    <t>Institut Teknologi dan Bisnis Ahmad Dahlan lamongan</t>
  </si>
  <si>
    <t>20850</t>
  </si>
  <si>
    <t>Febrian Adi Nurmansyah</t>
  </si>
  <si>
    <t>D3</t>
  </si>
  <si>
    <t>Teknik Mesin</t>
  </si>
  <si>
    <t>Politeknik Negeri Banyuwangi</t>
  </si>
  <si>
    <t>20347</t>
  </si>
  <si>
    <t>Totok Suprapto</t>
  </si>
  <si>
    <t>R&amp;G Coffee Roaster</t>
  </si>
  <si>
    <t>SMK 1 Krian</t>
  </si>
  <si>
    <t>20246</t>
  </si>
  <si>
    <t>Subagyo</t>
  </si>
  <si>
    <t>Elektro</t>
  </si>
  <si>
    <t xml:space="preserve">YPM Beringin </t>
  </si>
  <si>
    <t>20159</t>
  </si>
  <si>
    <t>Heru Mujiono</t>
  </si>
  <si>
    <t>20873</t>
  </si>
  <si>
    <t>Febriansyah Ramadani</t>
  </si>
  <si>
    <t>Universitas 17 Agustus 1945 Surabaya</t>
  </si>
  <si>
    <t>20381</t>
  </si>
  <si>
    <t>Anis Murias</t>
  </si>
  <si>
    <t>Instant Coffee Process</t>
  </si>
  <si>
    <t>Teknik Elektro</t>
  </si>
  <si>
    <t>Politeknik Brawijaya</t>
  </si>
  <si>
    <t>20219</t>
  </si>
  <si>
    <t>Suryono</t>
  </si>
  <si>
    <t>SMK 17 MADIUN</t>
  </si>
  <si>
    <t>20034</t>
  </si>
  <si>
    <t>Bachrul Anwar</t>
  </si>
  <si>
    <t>Universitas 17 Agustus Surabaya</t>
  </si>
  <si>
    <t>20123</t>
  </si>
  <si>
    <t>Januar Arie Ostianto</t>
  </si>
  <si>
    <t>Teknik Manajemen dan Industri</t>
  </si>
  <si>
    <t>Universitas Tritunggal Surabaya</t>
  </si>
  <si>
    <t>20300</t>
  </si>
  <si>
    <t>Arik Soentari</t>
  </si>
  <si>
    <t>Extractor</t>
  </si>
  <si>
    <t>Production &amp; Engineering/Production/Instant Coffee Process/Instant Coffee Process</t>
  </si>
  <si>
    <t>20220</t>
  </si>
  <si>
    <t>Very Andhi Widyono</t>
  </si>
  <si>
    <t>20572</t>
  </si>
  <si>
    <t>Ahmad Kolil</t>
  </si>
  <si>
    <t>20870</t>
  </si>
  <si>
    <t>Sapta Dwi Saputra</t>
  </si>
  <si>
    <t>PERMESINAN</t>
  </si>
  <si>
    <t>SMKN 3 SURABAYA</t>
  </si>
  <si>
    <t>20859</t>
  </si>
  <si>
    <t>Akhmad Zulfikar Landayan</t>
  </si>
  <si>
    <t>Teknik Otomasi</t>
  </si>
  <si>
    <t>Politeknik Perkapalan Negeri Surabaya - ITS</t>
  </si>
  <si>
    <t>20769</t>
  </si>
  <si>
    <t>Rudy Andriansyah</t>
  </si>
  <si>
    <t>Teknik Instalasi Tenaga Listrik (TITL)</t>
  </si>
  <si>
    <t>SMK Muhammadiyah 2 taman</t>
  </si>
  <si>
    <t>20853</t>
  </si>
  <si>
    <t>Gusti Ilman Akbar</t>
  </si>
  <si>
    <t>Administrasi Publik</t>
  </si>
  <si>
    <t>Universitas Muhammadiyah Sidoarjo</t>
  </si>
  <si>
    <t>20869</t>
  </si>
  <si>
    <t>M. Porbo Adjie Athallah</t>
  </si>
  <si>
    <t>Teknik Instalasi Tenaga Listrik</t>
  </si>
  <si>
    <t>20502</t>
  </si>
  <si>
    <t>Supardi</t>
  </si>
  <si>
    <t>SMP</t>
  </si>
  <si>
    <t>20355</t>
  </si>
  <si>
    <t>Mulyono</t>
  </si>
  <si>
    <t>Smk</t>
  </si>
  <si>
    <t>20221</t>
  </si>
  <si>
    <t>Sunaryawan</t>
  </si>
  <si>
    <t>20713</t>
  </si>
  <si>
    <t>Wahyudi Tekad Pribadi</t>
  </si>
  <si>
    <t>Bubut</t>
  </si>
  <si>
    <t>Pt.aneka coffee industri</t>
  </si>
  <si>
    <t>20874</t>
  </si>
  <si>
    <t>Achmad Alfian Farisandi</t>
  </si>
  <si>
    <t>Institut Teknologi Adhi Tama Surabaya</t>
  </si>
  <si>
    <t>20861</t>
  </si>
  <si>
    <t>Zainul Arifin</t>
  </si>
  <si>
    <t>Teknik sepeda motor</t>
  </si>
  <si>
    <t>20879</t>
  </si>
  <si>
    <t>Wisnu Fadhlurrahman</t>
  </si>
  <si>
    <t>Diploma 3</t>
  </si>
  <si>
    <t xml:space="preserve">UNIVERSITAS NEGERI YOGYAKARTA </t>
  </si>
  <si>
    <t>20871</t>
  </si>
  <si>
    <t>Hendrik Kiswantoro</t>
  </si>
  <si>
    <t>Teknik Kendaraan Ringan</t>
  </si>
  <si>
    <t>SMK NEGERI 1 Sugihwaras Bojonegoro</t>
  </si>
  <si>
    <t>20882</t>
  </si>
  <si>
    <t>Farzuk Irfana</t>
  </si>
  <si>
    <t>PERAWATAN DAN PERBAIKAN MESIN</t>
  </si>
  <si>
    <t>POLITEKNIK KEDIRI</t>
  </si>
  <si>
    <t>20856</t>
  </si>
  <si>
    <t>M. Eko Aprianto</t>
  </si>
  <si>
    <t>Pemesinan</t>
  </si>
  <si>
    <t>20886</t>
  </si>
  <si>
    <t>Mohamad Fahrurrozi</t>
  </si>
  <si>
    <t>teknik instalasi tenaga listrik</t>
  </si>
  <si>
    <t>smk krian 1 sidoarjo</t>
  </si>
  <si>
    <t>20866</t>
  </si>
  <si>
    <t>Rachmad Dwi Wijaya</t>
  </si>
  <si>
    <t>Teknik Pemesinan</t>
  </si>
  <si>
    <t>SMKN 1 Pungginh</t>
  </si>
  <si>
    <t>20875</t>
  </si>
  <si>
    <t>Primanda Karunia Akbar</t>
  </si>
  <si>
    <t>Teknik Tenaga Listrik</t>
  </si>
  <si>
    <t>SMK NEGERI 2 SURABAYA</t>
  </si>
  <si>
    <t>20884</t>
  </si>
  <si>
    <t>Dhika Putra Ashari</t>
  </si>
  <si>
    <t>20174</t>
  </si>
  <si>
    <t>Ali Masud</t>
  </si>
  <si>
    <t>Evaporator</t>
  </si>
  <si>
    <t>20354</t>
  </si>
  <si>
    <t>Abadi Kariono</t>
  </si>
  <si>
    <t>SMK</t>
  </si>
  <si>
    <t>SMK Krian 1,Sidoarjo</t>
  </si>
  <si>
    <t>20194</t>
  </si>
  <si>
    <t>Juantoro</t>
  </si>
  <si>
    <t>SMK Raden Patah</t>
  </si>
  <si>
    <t>20563</t>
  </si>
  <si>
    <t>Andy Prastyo</t>
  </si>
  <si>
    <t>Institut Teknologi Pembangunan Surabaya</t>
  </si>
  <si>
    <t>20671</t>
  </si>
  <si>
    <t>Novia Effendi</t>
  </si>
  <si>
    <t>OTOMOTIF</t>
  </si>
  <si>
    <t>SMK SORE TULUNGAGUNG</t>
  </si>
  <si>
    <t>20877</t>
  </si>
  <si>
    <t>Nugraha Dharma Purnama Kasidi</t>
  </si>
  <si>
    <t>Teknik Industri</t>
  </si>
  <si>
    <t>Universitas PGRI Adi Buana Surabaya</t>
  </si>
  <si>
    <t>20823</t>
  </si>
  <si>
    <t>Aulia Randy Permadi, S.T.</t>
  </si>
  <si>
    <t>Universitas Negeri Surabaya</t>
  </si>
  <si>
    <t>20810</t>
  </si>
  <si>
    <t>Dendi Ariyanto</t>
  </si>
  <si>
    <t>Administrasi Bisnis</t>
  </si>
  <si>
    <t>SEKOLAH TINGGI ILMU ADMINISTRASI ,(STIA) MALANG</t>
  </si>
  <si>
    <t>20361</t>
  </si>
  <si>
    <t>Eko Sumarsono</t>
  </si>
  <si>
    <t>20642</t>
  </si>
  <si>
    <t>Mochamad Dadan Taufik</t>
  </si>
  <si>
    <t>Elektronika Komunikasi</t>
  </si>
  <si>
    <t>SMK Negeri 2 Bogor</t>
  </si>
  <si>
    <t>20595</t>
  </si>
  <si>
    <t>Dwito Adi Priyambodo</t>
  </si>
  <si>
    <t>Analis Kesehatan</t>
  </si>
  <si>
    <t>Akademi Analis Kesehatan Delima Husada Gresik</t>
  </si>
  <si>
    <t>20771</t>
  </si>
  <si>
    <t>Ruseno Rachmat, SE</t>
  </si>
  <si>
    <t>Ekonomi</t>
  </si>
  <si>
    <t>Stiekop malang</t>
  </si>
  <si>
    <t>20855</t>
  </si>
  <si>
    <t>Erix Setiawan</t>
  </si>
  <si>
    <t>Mekanik Otomotif</t>
  </si>
  <si>
    <t>SMKN 1 JETIS MOJOKERTO</t>
  </si>
  <si>
    <t>20772</t>
  </si>
  <si>
    <t>Yogi Fardian, S.Pd</t>
  </si>
  <si>
    <t>Penjaskes</t>
  </si>
  <si>
    <t>Stkip PGRI Jombang</t>
  </si>
  <si>
    <t>20860</t>
  </si>
  <si>
    <t>Dhody Mega Setiawan</t>
  </si>
  <si>
    <t xml:space="preserve">Teknik Industri </t>
  </si>
  <si>
    <t>Universitas Pembangunan Nasional " Veteran " Jawa Timur</t>
  </si>
  <si>
    <t>20867</t>
  </si>
  <si>
    <t>Alif Al Haqqu Nanda</t>
  </si>
  <si>
    <t>20785</t>
  </si>
  <si>
    <t>Muchammad Abdul Hadi Hidayatulah</t>
  </si>
  <si>
    <t>SMK YPM 4 TAMAN</t>
  </si>
  <si>
    <t>20794</t>
  </si>
  <si>
    <t>Sofyar Awaludin</t>
  </si>
  <si>
    <t>Teknik Pengelasan</t>
  </si>
  <si>
    <t>20864</t>
  </si>
  <si>
    <t>Muhammad Taufiqur Rahman</t>
  </si>
  <si>
    <t>Teknik kendaraan ringan</t>
  </si>
  <si>
    <t>20055</t>
  </si>
  <si>
    <t>Jumali</t>
  </si>
  <si>
    <t>Spray Dried</t>
  </si>
  <si>
    <t>20212</t>
  </si>
  <si>
    <t>Tutanto</t>
  </si>
  <si>
    <t>PT.ANEKACOFFEEINDUSTRY</t>
  </si>
  <si>
    <t>20564</t>
  </si>
  <si>
    <t>Suhermanto</t>
  </si>
  <si>
    <t>Listrik</t>
  </si>
  <si>
    <t>SMK PGRI 1</t>
  </si>
  <si>
    <t>20868</t>
  </si>
  <si>
    <t>Dedik Pri Prastiyo</t>
  </si>
  <si>
    <t>TEKNIK MEKANIK OTOMOTIF</t>
  </si>
  <si>
    <t>SMK NEGERI 2 BOJONEGORO</t>
  </si>
  <si>
    <t>20854</t>
  </si>
  <si>
    <t>Hairu Ahyar</t>
  </si>
  <si>
    <t>Universitas Muhammadiyah Malang</t>
  </si>
  <si>
    <t>20471</t>
  </si>
  <si>
    <t>Choirul Umam</t>
  </si>
  <si>
    <t>Mesin industri</t>
  </si>
  <si>
    <t>Stm dharma bhakti</t>
  </si>
  <si>
    <t>20789</t>
  </si>
  <si>
    <t>Muhammad Abdullah</t>
  </si>
  <si>
    <t>Teknik elektronika</t>
  </si>
  <si>
    <t>SMK krian 2</t>
  </si>
  <si>
    <t>20190</t>
  </si>
  <si>
    <t>Sugiono</t>
  </si>
  <si>
    <t>Smk krian</t>
  </si>
  <si>
    <t>20466</t>
  </si>
  <si>
    <t>Slamet Riyanto</t>
  </si>
  <si>
    <t>20218</t>
  </si>
  <si>
    <t>Khoirul Sajidin</t>
  </si>
  <si>
    <t xml:space="preserve">SMK PGRI Sidoarjo </t>
  </si>
  <si>
    <t>20272</t>
  </si>
  <si>
    <t>Bachrur Rozi</t>
  </si>
  <si>
    <t>LISTRIK</t>
  </si>
  <si>
    <t>YPM 1 TAMAN</t>
  </si>
  <si>
    <t>20379</t>
  </si>
  <si>
    <t>Sukarji</t>
  </si>
  <si>
    <t>20229</t>
  </si>
  <si>
    <t>Biatno Sentot</t>
  </si>
  <si>
    <t>DHARMA BHAKTI</t>
  </si>
  <si>
    <t>Sugianto</t>
  </si>
  <si>
    <t>20876</t>
  </si>
  <si>
    <t>Achmad Syaifuddin</t>
  </si>
  <si>
    <t>TEKNIK MESIN</t>
  </si>
  <si>
    <t xml:space="preserve">INSTITUT TEKNOLOGI ADHI TAMA SURABAYA </t>
  </si>
  <si>
    <t>20872</t>
  </si>
  <si>
    <t>Achmad Bayu Pradana</t>
  </si>
  <si>
    <t>teknik elektro</t>
  </si>
  <si>
    <t>universitas negeri surabaya</t>
  </si>
  <si>
    <t>20863</t>
  </si>
  <si>
    <t>Dhani Darmawan Setyaji</t>
  </si>
  <si>
    <t>Teknik Sepeda Motor</t>
  </si>
  <si>
    <t>SMK SIANG TULUNGAGUNG</t>
  </si>
  <si>
    <t>20857</t>
  </si>
  <si>
    <t>Hafid Alhadi</t>
  </si>
  <si>
    <t>Teknik pemesinan</t>
  </si>
  <si>
    <t xml:space="preserve">Smk krian 1 Sidoarjo </t>
  </si>
  <si>
    <t>M. Abdulloh</t>
  </si>
  <si>
    <t>20852</t>
  </si>
  <si>
    <t>Achmad Nurul Hidayat</t>
  </si>
  <si>
    <t>teknik kendaraan ringan</t>
  </si>
  <si>
    <t>SMK negeri 1 jatirejo</t>
  </si>
  <si>
    <t>20862</t>
  </si>
  <si>
    <t>M Rizal Abidin</t>
  </si>
  <si>
    <t xml:space="preserve">Multimedia </t>
  </si>
  <si>
    <t xml:space="preserve">Smk ypm 3 taman </t>
  </si>
  <si>
    <t>20885</t>
  </si>
  <si>
    <t>Mukhammad Alif Yogianto</t>
  </si>
  <si>
    <t xml:space="preserve">Teknik instalasi tenaga listrik </t>
  </si>
  <si>
    <t>SMKN 1 Pungging</t>
  </si>
  <si>
    <t>20185</t>
  </si>
  <si>
    <t>Krisdi</t>
  </si>
  <si>
    <t>Separator</t>
  </si>
  <si>
    <t>20880</t>
  </si>
  <si>
    <t>Moh. Arbi Zainul Bahar F.</t>
  </si>
  <si>
    <t>Politeknik Kediri</t>
  </si>
  <si>
    <t>20783</t>
  </si>
  <si>
    <t>Zoga</t>
  </si>
  <si>
    <t>TEKNIK KENDARAAN RINGAN</t>
  </si>
  <si>
    <t>SMKN 1 LENGKONG</t>
  </si>
  <si>
    <t>20865</t>
  </si>
  <si>
    <t>Ghoza Nova Ragaris</t>
  </si>
  <si>
    <t>20768</t>
  </si>
  <si>
    <t>Aldi Yoviansyah Widiyanto</t>
  </si>
  <si>
    <t>Smk krian 1 sidoarjo</t>
  </si>
  <si>
    <t>20802</t>
  </si>
  <si>
    <t>Anjas Ilham Pramudiansyah</t>
  </si>
  <si>
    <t>SMK Negeri 5 Surabaya</t>
  </si>
  <si>
    <t>20814</t>
  </si>
  <si>
    <t>Muhammad Ardiansyah</t>
  </si>
  <si>
    <t>Permesinan</t>
  </si>
  <si>
    <t>SMK TRISAKTI</t>
  </si>
  <si>
    <t>20796</t>
  </si>
  <si>
    <t>Muhamad Romadhon</t>
  </si>
  <si>
    <t>Audio Video</t>
  </si>
  <si>
    <t>20037</t>
  </si>
  <si>
    <t>Muntolib</t>
  </si>
  <si>
    <t>Production &amp; Engineering/Production/Instant Coffee Process</t>
  </si>
  <si>
    <t>SMK Antartika</t>
  </si>
  <si>
    <t>20013</t>
  </si>
  <si>
    <t>Moh Ekwanto</t>
  </si>
  <si>
    <t>Mekanik umum</t>
  </si>
  <si>
    <t>20259</t>
  </si>
  <si>
    <t>Muhamad Yusuf</t>
  </si>
  <si>
    <t>Tehnik mesin</t>
  </si>
  <si>
    <t>SMK/STM GROGOL</t>
  </si>
  <si>
    <t>20210</t>
  </si>
  <si>
    <t>Zainal Abidin</t>
  </si>
  <si>
    <t>20184</t>
  </si>
  <si>
    <t>Ir. Bambang Andiwinarko</t>
  </si>
  <si>
    <t>Packing</t>
  </si>
  <si>
    <t>20103</t>
  </si>
  <si>
    <t>Jumadi</t>
  </si>
  <si>
    <t>Bulk Packing</t>
  </si>
  <si>
    <t>Production &amp; Engineering/Production/Packing/Packing</t>
  </si>
  <si>
    <t xml:space="preserve">STM </t>
  </si>
  <si>
    <t>Elektronika</t>
  </si>
  <si>
    <t>20214</t>
  </si>
  <si>
    <t>Hariyanto</t>
  </si>
  <si>
    <t>Mesin mekanik</t>
  </si>
  <si>
    <t>20359</t>
  </si>
  <si>
    <t>Martolo</t>
  </si>
  <si>
    <t>20360</t>
  </si>
  <si>
    <t>Achmad Tohanun Kutub</t>
  </si>
  <si>
    <t>20465</t>
  </si>
  <si>
    <t>Saiful Ashari</t>
  </si>
  <si>
    <t>20032</t>
  </si>
  <si>
    <t>Khoirul Anam</t>
  </si>
  <si>
    <t>20073</t>
  </si>
  <si>
    <t>Tri Winarji</t>
  </si>
  <si>
    <t>20254</t>
  </si>
  <si>
    <t>Zaiyin</t>
  </si>
  <si>
    <t>20264</t>
  </si>
  <si>
    <t>Moch Tohari</t>
  </si>
  <si>
    <t>Otomotif</t>
  </si>
  <si>
    <t>STM YPM 2 Taman</t>
  </si>
  <si>
    <t>20277</t>
  </si>
  <si>
    <t>Rudi Siswanto</t>
  </si>
  <si>
    <t>20352</t>
  </si>
  <si>
    <t>Muslikin</t>
  </si>
  <si>
    <t>20363</t>
  </si>
  <si>
    <t>Mardi Arto</t>
  </si>
  <si>
    <t>Mesin produksi</t>
  </si>
  <si>
    <t>SMK NEGERI 3 SURABAYA</t>
  </si>
  <si>
    <t>20372</t>
  </si>
  <si>
    <t>Tri Wardojo</t>
  </si>
  <si>
    <t>20374</t>
  </si>
  <si>
    <t>Nuri Alfin</t>
  </si>
  <si>
    <t>20377</t>
  </si>
  <si>
    <t>Agus Hariono</t>
  </si>
  <si>
    <t>SMK PGRI 1 Malang</t>
  </si>
  <si>
    <t>20400</t>
  </si>
  <si>
    <t>Akhmad Afandi</t>
  </si>
  <si>
    <t>20427</t>
  </si>
  <si>
    <t>Rokim</t>
  </si>
  <si>
    <t>20436</t>
  </si>
  <si>
    <t>INDUSTRI</t>
  </si>
  <si>
    <t>20439</t>
  </si>
  <si>
    <t>Mujiono</t>
  </si>
  <si>
    <t>20469</t>
  </si>
  <si>
    <t>Dwi Andhi Soesanto</t>
  </si>
  <si>
    <t>20470</t>
  </si>
  <si>
    <t>20484</t>
  </si>
  <si>
    <t>Sumarsaid</t>
  </si>
  <si>
    <t>20749</t>
  </si>
  <si>
    <t>Soffan Arvianto Sandy</t>
  </si>
  <si>
    <t xml:space="preserve">otomotif (SMK) </t>
  </si>
  <si>
    <t>pegawai swasta</t>
  </si>
  <si>
    <t>20770</t>
  </si>
  <si>
    <t>Heri Setiawan</t>
  </si>
  <si>
    <t xml:space="preserve">Elektronika </t>
  </si>
  <si>
    <t xml:space="preserve">SMK PGRI 4 Surabaya </t>
  </si>
  <si>
    <t>20035</t>
  </si>
  <si>
    <t>Final Product Packing</t>
  </si>
  <si>
    <t>SMK Raden Patah Mojokerto</t>
  </si>
  <si>
    <t>20937</t>
  </si>
  <si>
    <t>Wahyu Fuji Cahyono</t>
  </si>
  <si>
    <t>20270</t>
  </si>
  <si>
    <t xml:space="preserve">Smk taman sepanjang </t>
  </si>
  <si>
    <t>20303</t>
  </si>
  <si>
    <t>Tri Santoso</t>
  </si>
  <si>
    <t>20305</t>
  </si>
  <si>
    <t>Saat Akhmad</t>
  </si>
  <si>
    <t>20274</t>
  </si>
  <si>
    <t>Wahyudi Hanggoro Warsito</t>
  </si>
  <si>
    <t>Production &amp; Engineering/Production/Packing</t>
  </si>
  <si>
    <t>STM - Khusus Angkatan Laut</t>
  </si>
  <si>
    <t>20661</t>
  </si>
  <si>
    <t>Mochamad Choirudin</t>
  </si>
  <si>
    <t>Desain Grafis</t>
  </si>
  <si>
    <t>Institut Pembangunan</t>
  </si>
  <si>
    <t>20844</t>
  </si>
  <si>
    <t>Bagus Putra Wibowo</t>
  </si>
  <si>
    <t>UNIVERSITAS MUHAMMADIYAH JEMBER</t>
  </si>
  <si>
    <t>20756</t>
  </si>
  <si>
    <t>Muhammad Taufiq, S.T.</t>
  </si>
  <si>
    <t>Supervisor (Pjs.)</t>
  </si>
  <si>
    <t>UNIVERSITAS MUHAMMADIYAH SIDOARJO</t>
  </si>
  <si>
    <t>20675</t>
  </si>
  <si>
    <t>Erly Bachtiar Chumaini, ST</t>
  </si>
  <si>
    <t>WT/WWTP</t>
  </si>
  <si>
    <t>Teknik kimia</t>
  </si>
  <si>
    <t>IT'S Surabaya</t>
  </si>
  <si>
    <t>20025</t>
  </si>
  <si>
    <t>Arifin</t>
  </si>
  <si>
    <t>Production &amp; Engineering/Production/WT/WWTP</t>
  </si>
  <si>
    <t>STM PGRI 2 Surabaya</t>
  </si>
  <si>
    <t>20240</t>
  </si>
  <si>
    <t>Yales Setiawan</t>
  </si>
  <si>
    <t>S1 teknik mesin</t>
  </si>
  <si>
    <t>Universitas 17 agustus surabaya</t>
  </si>
  <si>
    <t>20845</t>
  </si>
  <si>
    <t>Farid Zakariya</t>
  </si>
  <si>
    <t>Teknik Kimia</t>
  </si>
  <si>
    <t>Institut Teknologi Nasional Malang</t>
  </si>
  <si>
    <t>20889</t>
  </si>
  <si>
    <t>Ricco Primario Lisanto</t>
  </si>
  <si>
    <t>ITS</t>
  </si>
  <si>
    <t>20126</t>
  </si>
  <si>
    <t>Totok Hariyanto</t>
  </si>
  <si>
    <t>Water Treatment</t>
  </si>
  <si>
    <t>Production &amp; Engineering/Production/WT/WWTP/WT/WWTP</t>
  </si>
  <si>
    <t>Pendidikan SLTA</t>
  </si>
  <si>
    <t>20180</t>
  </si>
  <si>
    <t>Djoko Agus Supriyadi</t>
  </si>
  <si>
    <t>20452</t>
  </si>
  <si>
    <t>Wijang Dwi Mulyono</t>
  </si>
  <si>
    <t>Stmk uziel kediri</t>
  </si>
  <si>
    <t>20938</t>
  </si>
  <si>
    <t>Melvin Ardian Wirabrata</t>
  </si>
  <si>
    <t>Administration Staff</t>
  </si>
  <si>
    <t>WWTP</t>
  </si>
  <si>
    <t>20087</t>
  </si>
  <si>
    <t>Tono</t>
  </si>
  <si>
    <t>Listrk</t>
  </si>
  <si>
    <t>STM YPM taman sepanjang</t>
  </si>
  <si>
    <t>20183</t>
  </si>
  <si>
    <t>Muhammad Chojin</t>
  </si>
  <si>
    <t>20592</t>
  </si>
  <si>
    <t>Rizal Budiarto</t>
  </si>
  <si>
    <t>20655</t>
  </si>
  <si>
    <t>Sugeng Mulyo</t>
  </si>
  <si>
    <t>MESIN PERKAKAS</t>
  </si>
  <si>
    <t>20946</t>
  </si>
  <si>
    <t>Wahid Triono</t>
  </si>
  <si>
    <t>20420</t>
  </si>
  <si>
    <t>Rullyana</t>
  </si>
  <si>
    <t>Officer</t>
  </si>
  <si>
    <t>PIS</t>
  </si>
  <si>
    <t>Ekonomi Akuntansi</t>
  </si>
  <si>
    <t>Universitas WR.Supratman Surabaya</t>
  </si>
  <si>
    <t>20571</t>
  </si>
  <si>
    <t>Krisdianto</t>
  </si>
  <si>
    <t>D1</t>
  </si>
  <si>
    <t xml:space="preserve">Informatika dan Komputer </t>
  </si>
  <si>
    <t>PINKOM AL ISLAM KRIAN</t>
  </si>
  <si>
    <t>20390</t>
  </si>
  <si>
    <t>Deni Triwahananto</t>
  </si>
  <si>
    <t>Assistant Manager</t>
  </si>
  <si>
    <t>Engineering</t>
  </si>
  <si>
    <t>Teknik Listrik</t>
  </si>
  <si>
    <t>Politeknik Unibraw Malang</t>
  </si>
  <si>
    <t>10394</t>
  </si>
  <si>
    <t>Andrianto</t>
  </si>
  <si>
    <t>Politeknik brawijaya malang</t>
  </si>
  <si>
    <t>10588</t>
  </si>
  <si>
    <t>Andy Tenggara, ST</t>
  </si>
  <si>
    <t>Maintenance &amp; Utility</t>
  </si>
  <si>
    <t>Production &amp; Engineering/Engineering</t>
  </si>
  <si>
    <t>UK PETRA</t>
  </si>
  <si>
    <t>10848</t>
  </si>
  <si>
    <t>Tarji</t>
  </si>
  <si>
    <t>10092</t>
  </si>
  <si>
    <t>Nurul Fajri</t>
  </si>
  <si>
    <t>Maintenance</t>
  </si>
  <si>
    <t>Production &amp; Engineering/Engineering/Maintenance &amp; Utility</t>
  </si>
  <si>
    <t xml:space="preserve">MESIN TENAGA </t>
  </si>
  <si>
    <t>SMK 1 KRIAN</t>
  </si>
  <si>
    <t>10094</t>
  </si>
  <si>
    <t>Mochamad Mushonif</t>
  </si>
  <si>
    <t>Boiler</t>
  </si>
  <si>
    <t>Production &amp; Engineering/Engineering/Maintenance &amp; Utility/Utility</t>
  </si>
  <si>
    <t>Teknik mesin</t>
  </si>
  <si>
    <t>Airlangga</t>
  </si>
  <si>
    <t>10148</t>
  </si>
  <si>
    <t>Hadi Ismanto</t>
  </si>
  <si>
    <t>Swasta</t>
  </si>
  <si>
    <t>10197</t>
  </si>
  <si>
    <t>Candra Hermawan</t>
  </si>
  <si>
    <t>YPM 1 sepanjang</t>
  </si>
  <si>
    <t>10224</t>
  </si>
  <si>
    <t>Moch. Machroji</t>
  </si>
  <si>
    <t>SMK pgri 2 surabaya</t>
  </si>
  <si>
    <t>10657</t>
  </si>
  <si>
    <t>Luzman Hakim</t>
  </si>
  <si>
    <t>SMK PGRI 1 BLITAR</t>
  </si>
  <si>
    <t>10222</t>
  </si>
  <si>
    <t>Edy Sasongko Widyo</t>
  </si>
  <si>
    <t>Cooling System</t>
  </si>
  <si>
    <t xml:space="preserve">Tehnik pemesinan </t>
  </si>
  <si>
    <t>10231</t>
  </si>
  <si>
    <t>Totok Purwanto</t>
  </si>
  <si>
    <t>TPL</t>
  </si>
  <si>
    <t>Sam negeri sidoarjo</t>
  </si>
  <si>
    <t>10926</t>
  </si>
  <si>
    <t>Ryan Anggara Putra</t>
  </si>
  <si>
    <t>10199</t>
  </si>
  <si>
    <t>Bay Sukron</t>
  </si>
  <si>
    <t>Incenerator</t>
  </si>
  <si>
    <t>10225</t>
  </si>
  <si>
    <t>Ridwan</t>
  </si>
  <si>
    <t>Mekanik Umum</t>
  </si>
  <si>
    <t>10328</t>
  </si>
  <si>
    <t>Asmanto</t>
  </si>
  <si>
    <t xml:space="preserve">Otomotif </t>
  </si>
  <si>
    <t>10568</t>
  </si>
  <si>
    <t>Boby Kristian</t>
  </si>
  <si>
    <t>smk otomotif</t>
  </si>
  <si>
    <t>smk tamansiswa</t>
  </si>
  <si>
    <t>10647</t>
  </si>
  <si>
    <t>Ahsanul Walid</t>
  </si>
  <si>
    <t xml:space="preserve">MESIN </t>
  </si>
  <si>
    <t>10776</t>
  </si>
  <si>
    <t>Rifal Fiangga</t>
  </si>
  <si>
    <t xml:space="preserve">Listrik </t>
  </si>
  <si>
    <t>10777</t>
  </si>
  <si>
    <t>Hadi Sugiarto</t>
  </si>
  <si>
    <t>Smk ypm 4 taman</t>
  </si>
  <si>
    <t>10778</t>
  </si>
  <si>
    <t>Moch Riki Fachmi</t>
  </si>
  <si>
    <t xml:space="preserve">Mekanik Otomotif </t>
  </si>
  <si>
    <t>SMKN 6 Malang</t>
  </si>
  <si>
    <t>10495</t>
  </si>
  <si>
    <t>Kunarto</t>
  </si>
  <si>
    <t>Power Station</t>
  </si>
  <si>
    <t>STM Negeri 1 sby</t>
  </si>
  <si>
    <t>10215</t>
  </si>
  <si>
    <t>Hariyadi</t>
  </si>
  <si>
    <t>10239</t>
  </si>
  <si>
    <t>Sutikno</t>
  </si>
  <si>
    <t>SMk</t>
  </si>
  <si>
    <t>10256</t>
  </si>
  <si>
    <t>Subiantoro</t>
  </si>
  <si>
    <t>10113</t>
  </si>
  <si>
    <t>Rydho Nurdianto</t>
  </si>
  <si>
    <t>Utility</t>
  </si>
  <si>
    <t>10201</t>
  </si>
  <si>
    <t>Mohamad Arif Santosa</t>
  </si>
  <si>
    <t>10415</t>
  </si>
  <si>
    <t>Dwi Jayanto Wiryono</t>
  </si>
  <si>
    <t>Tehnik Elektro-Listrik</t>
  </si>
  <si>
    <t>PENS-ITS</t>
  </si>
  <si>
    <t>10523</t>
  </si>
  <si>
    <t>Supriyanto</t>
  </si>
  <si>
    <t>Plant Maintenance</t>
  </si>
  <si>
    <t>Production &amp; Engineering/Engineering/Maintenance &amp; Utility/Maintenance</t>
  </si>
  <si>
    <t xml:space="preserve">S1 managemen </t>
  </si>
  <si>
    <t>STIE IBMT Surabaya</t>
  </si>
  <si>
    <t>10100</t>
  </si>
  <si>
    <t>Ainur Rofiq</t>
  </si>
  <si>
    <t>Technician</t>
  </si>
  <si>
    <t xml:space="preserve"> SMK Swasta</t>
  </si>
  <si>
    <t>10102</t>
  </si>
  <si>
    <t>Boniran</t>
  </si>
  <si>
    <t>10177</t>
  </si>
  <si>
    <t xml:space="preserve">SMK 1 KRIAN </t>
  </si>
  <si>
    <t>10179</t>
  </si>
  <si>
    <t>Imam Kurdi</t>
  </si>
  <si>
    <t>10223</t>
  </si>
  <si>
    <t>Samiadji</t>
  </si>
  <si>
    <t>ELEKTRONIKA</t>
  </si>
  <si>
    <t xml:space="preserve">SMK YPM SEPANJANG </t>
  </si>
  <si>
    <t>10323</t>
  </si>
  <si>
    <t>Abu Tholib</t>
  </si>
  <si>
    <t>Teknik</t>
  </si>
  <si>
    <t>SMK krian</t>
  </si>
  <si>
    <t>10455</t>
  </si>
  <si>
    <t>Suryanto</t>
  </si>
  <si>
    <t xml:space="preserve">SMKN SIDOARJO </t>
  </si>
  <si>
    <t>10457</t>
  </si>
  <si>
    <t>Nur Choliq</t>
  </si>
  <si>
    <t>MEKANIK UMUM</t>
  </si>
  <si>
    <t>10646</t>
  </si>
  <si>
    <t>Agung Setyawan</t>
  </si>
  <si>
    <t>PT Aneka Coffee Industry</t>
  </si>
  <si>
    <t>10924</t>
  </si>
  <si>
    <t>Moch. Zakaria Nur Syaifuddin</t>
  </si>
  <si>
    <t>10925</t>
  </si>
  <si>
    <t>Zul Fikri Suryo Wahyudi</t>
  </si>
  <si>
    <t>10927</t>
  </si>
  <si>
    <t>Rony Verdy Irawan</t>
  </si>
  <si>
    <t>Building Maintenance</t>
  </si>
  <si>
    <t>10807</t>
  </si>
  <si>
    <t>Ulus Swikno</t>
  </si>
  <si>
    <t>Workshop</t>
  </si>
  <si>
    <t>20653</t>
  </si>
  <si>
    <t>Didik Santoso</t>
  </si>
  <si>
    <t>Engineer</t>
  </si>
  <si>
    <t>Automation Engineering</t>
  </si>
  <si>
    <t>Teknok Mesin Perkakas</t>
  </si>
  <si>
    <t>SMK YPM 1</t>
  </si>
  <si>
    <t>20773</t>
  </si>
  <si>
    <t>Ahmad Ramadani</t>
  </si>
  <si>
    <t>Teknik Elektro Industri</t>
  </si>
  <si>
    <t>Politeknik Elektronika Negeri Surabaya</t>
  </si>
  <si>
    <t>20775</t>
  </si>
  <si>
    <t>Dafid Eko Permana</t>
  </si>
  <si>
    <t>10067</t>
  </si>
  <si>
    <t>Imroatin Marifatin</t>
  </si>
  <si>
    <t>Sr. Officer</t>
  </si>
  <si>
    <t>Engineering Office</t>
  </si>
  <si>
    <t>Akuntansi</t>
  </si>
  <si>
    <t>Quality &amp; Compliance</t>
  </si>
  <si>
    <t>30948</t>
  </si>
  <si>
    <t>Dewi Anita Bakara</t>
  </si>
  <si>
    <t>Quality Assurance &amp; Control</t>
  </si>
  <si>
    <t>30318</t>
  </si>
  <si>
    <t>Esti Handayani</t>
  </si>
  <si>
    <t>Laboratory</t>
  </si>
  <si>
    <t>Quality &amp; Compliance/Quality Assurance &amp; Control</t>
  </si>
  <si>
    <t>Teknologi Pertanian</t>
  </si>
  <si>
    <t>Institut Pertanian Yogyakarta</t>
  </si>
  <si>
    <t>30601</t>
  </si>
  <si>
    <t>Dian Hermawan, A.Md</t>
  </si>
  <si>
    <t>Chemical Analysis</t>
  </si>
  <si>
    <t>Quality &amp; Compliance/Quality Assurance &amp; Control/Laboratory/Laboratory</t>
  </si>
  <si>
    <t>Kimia</t>
  </si>
  <si>
    <t xml:space="preserve">Universitas Brawijaya </t>
  </si>
  <si>
    <t>30597</t>
  </si>
  <si>
    <t>Mukammad Sholi</t>
  </si>
  <si>
    <t>Analyst</t>
  </si>
  <si>
    <t>30617</t>
  </si>
  <si>
    <t>Bagus Pambudi</t>
  </si>
  <si>
    <t>Kimia industri</t>
  </si>
  <si>
    <t>SMKN 5 Surabaya</t>
  </si>
  <si>
    <t>30660</t>
  </si>
  <si>
    <t>Lia Kurnia Imelda</t>
  </si>
  <si>
    <t>Kesehatan Lingkungan</t>
  </si>
  <si>
    <t>Politeknik Kesehatan Surabaya</t>
  </si>
  <si>
    <t>30670</t>
  </si>
  <si>
    <t>Yogi Kristanto</t>
  </si>
  <si>
    <t>Kimia Industri</t>
  </si>
  <si>
    <t>SMKN 3 Madiun</t>
  </si>
  <si>
    <t>30780</t>
  </si>
  <si>
    <t>Didi Sangkar</t>
  </si>
  <si>
    <t>30922</t>
  </si>
  <si>
    <t>Camelia Balqis Rania</t>
  </si>
  <si>
    <t>Institut Teknologi Sepuluh Nopember Surabaya</t>
  </si>
  <si>
    <t>30923</t>
  </si>
  <si>
    <t>Hen Esterina</t>
  </si>
  <si>
    <t>Teknobiologi</t>
  </si>
  <si>
    <t>Universitas Surabaya</t>
  </si>
  <si>
    <t>30943</t>
  </si>
  <si>
    <t>Mohamad Tirta Aditya</t>
  </si>
  <si>
    <t>Universitas Dipenogoro</t>
  </si>
  <si>
    <t>30553</t>
  </si>
  <si>
    <t>Abdul Rahmat Sanjaya</t>
  </si>
  <si>
    <t>Microbiology Analysis</t>
  </si>
  <si>
    <t>Diploma</t>
  </si>
  <si>
    <t>Putra Indonesia Malang</t>
  </si>
  <si>
    <t>30380</t>
  </si>
  <si>
    <t>Mochamad Aries Ariansyah</t>
  </si>
  <si>
    <t>30587</t>
  </si>
  <si>
    <t>Adhitya Agus Praptono</t>
  </si>
  <si>
    <t>30621</t>
  </si>
  <si>
    <t>Achmad Nuraini</t>
  </si>
  <si>
    <t>Universitas WR. Supratman Surabaya</t>
  </si>
  <si>
    <t>30766</t>
  </si>
  <si>
    <t>Agung Wicaksono</t>
  </si>
  <si>
    <t>30431</t>
  </si>
  <si>
    <t>Moh Robbi</t>
  </si>
  <si>
    <t>Organoleptic Analysis</t>
  </si>
  <si>
    <t>30673</t>
  </si>
  <si>
    <t>Mohamad Erwin Saputro</t>
  </si>
  <si>
    <t>30887</t>
  </si>
  <si>
    <t>William Thamrin</t>
  </si>
  <si>
    <t>Quality &amp; Compliance/Quality Assurance &amp; Control/Laboratory</t>
  </si>
  <si>
    <t>S2</t>
  </si>
  <si>
    <t>30936</t>
  </si>
  <si>
    <t>Lourensia Jessica Averina Gunawan</t>
  </si>
  <si>
    <t>30433</t>
  </si>
  <si>
    <t>Ratno Adwi Pidekso, ST.</t>
  </si>
  <si>
    <t>Quality Control</t>
  </si>
  <si>
    <t>30314</t>
  </si>
  <si>
    <t>Iwan Prasetyo</t>
  </si>
  <si>
    <t>Physical Analysis</t>
  </si>
  <si>
    <t>Quality &amp; Compliance/Quality Assurance &amp; Control/Quality Control/Incoming Material &amp; Packaging QC</t>
  </si>
  <si>
    <t>30386</t>
  </si>
  <si>
    <t>Priyo Budoyo</t>
  </si>
  <si>
    <t>STIE Al-Anwar Mojokerto</t>
  </si>
  <si>
    <t>30589</t>
  </si>
  <si>
    <t>Nur Sait ,A.Md</t>
  </si>
  <si>
    <t>30599</t>
  </si>
  <si>
    <t>Deffriaridian Firdianto</t>
  </si>
  <si>
    <t>30615</t>
  </si>
  <si>
    <t>Kristantoadi</t>
  </si>
  <si>
    <t>STM Pembangunan</t>
  </si>
  <si>
    <t>30616</t>
  </si>
  <si>
    <t>Dicky Saputra</t>
  </si>
  <si>
    <t>Ilmu Hukum</t>
  </si>
  <si>
    <t>30651</t>
  </si>
  <si>
    <t>Aries Dwi Cahyanto</t>
  </si>
  <si>
    <t xml:space="preserve">Kimia Industri </t>
  </si>
  <si>
    <t>30841</t>
  </si>
  <si>
    <t>Ari Rahmadi</t>
  </si>
  <si>
    <t>Politeknik Negeri Malang</t>
  </si>
  <si>
    <t>Incoming Material &amp; Packaging QC</t>
  </si>
  <si>
    <t>Quality &amp; Compliance/Quality Assurance &amp; Control/Quality Control</t>
  </si>
  <si>
    <t>30412</t>
  </si>
  <si>
    <t>Poetoet Agus Perwiro</t>
  </si>
  <si>
    <t>Product &amp; Shipping QC</t>
  </si>
  <si>
    <t>30315</t>
  </si>
  <si>
    <t>Roni Wijaya</t>
  </si>
  <si>
    <t>Incoming Material &amp; Packaging QC Team</t>
  </si>
  <si>
    <t>30640</t>
  </si>
  <si>
    <t>Andik Fiantono</t>
  </si>
  <si>
    <t>Ekonomi Manajemen</t>
  </si>
  <si>
    <t>30779</t>
  </si>
  <si>
    <t>Rizky Rendhi Wahyuahadi</t>
  </si>
  <si>
    <t>Pendidikan Sejarah</t>
  </si>
  <si>
    <t>Universitas Negeri Malang</t>
  </si>
  <si>
    <t>30610</t>
  </si>
  <si>
    <t>Slamet Hari Santoso</t>
  </si>
  <si>
    <t>Product &amp; Shipping QC Team</t>
  </si>
  <si>
    <t>Quality &amp; Compliance/Quality Assurance &amp; Control/Quality Control/Product &amp; Shipping QC</t>
  </si>
  <si>
    <t>30619</t>
  </si>
  <si>
    <t>Anugerah Pratama Wijanarko</t>
  </si>
  <si>
    <t xml:space="preserve">SMKN 5 Surabaya </t>
  </si>
  <si>
    <t>30840</t>
  </si>
  <si>
    <t>Aminulloh Usman Purba</t>
  </si>
  <si>
    <t>30942</t>
  </si>
  <si>
    <t>Ihsanul Mukminin</t>
  </si>
  <si>
    <t>Universitas Islam Negeri Maulana Malik Ibrahim</t>
  </si>
  <si>
    <t>30912</t>
  </si>
  <si>
    <t>Stevi Angela</t>
  </si>
  <si>
    <t>Section Head (Pjs.)</t>
  </si>
  <si>
    <t>Quality Assurance</t>
  </si>
  <si>
    <t>Universitas Kristen Satya Wacana</t>
  </si>
  <si>
    <t>60574</t>
  </si>
  <si>
    <t>Aidil Pridiyah Singgih</t>
  </si>
  <si>
    <t>QMS &amp; Regulatory</t>
  </si>
  <si>
    <t>Quality &amp; Compliance/Quality Assurance &amp; Control/Quality Assurance</t>
  </si>
  <si>
    <t>Teknik Komputer</t>
  </si>
  <si>
    <t>Dian Institute</t>
  </si>
  <si>
    <t>30747</t>
  </si>
  <si>
    <t>Ratih Dhikapramadi Putri, ST</t>
  </si>
  <si>
    <t>Lab &amp; QC Office</t>
  </si>
  <si>
    <t>30767</t>
  </si>
  <si>
    <t>Vania Juliana</t>
  </si>
  <si>
    <t>30834</t>
  </si>
  <si>
    <t>Maria Rosari Dwi Utami</t>
  </si>
  <si>
    <t>30851</t>
  </si>
  <si>
    <t>Eunike Kristina</t>
  </si>
  <si>
    <t>Teknologi Pangan</t>
  </si>
  <si>
    <t>Universitas Pembangunan Nasional "Veteran" Jawa Timur</t>
  </si>
  <si>
    <t>30950</t>
  </si>
  <si>
    <t>Taruni Sacitta</t>
  </si>
  <si>
    <t>40909</t>
  </si>
  <si>
    <t>Putra Wibisana Yogasara</t>
  </si>
  <si>
    <t>Governance &amp; Sustainability</t>
  </si>
  <si>
    <t>Permanent</t>
  </si>
  <si>
    <t>putra@anekacoffee.com</t>
  </si>
  <si>
    <t>Psikologi</t>
  </si>
  <si>
    <t>Universitas Gadjah Mada</t>
  </si>
  <si>
    <t>HRD &amp; GA</t>
  </si>
  <si>
    <t>40181</t>
  </si>
  <si>
    <t>Susilowati, SH.</t>
  </si>
  <si>
    <t>40679</t>
  </si>
  <si>
    <t>Noviati Dina Damayanti</t>
  </si>
  <si>
    <t>HR Operations</t>
  </si>
  <si>
    <t>HRD &amp; GA/HRD &amp; GA</t>
  </si>
  <si>
    <t>Intitut Teknologi Adhi Tama Surabaya</t>
  </si>
  <si>
    <t>40742</t>
  </si>
  <si>
    <t>Raning Janti Kusuma Widjaja</t>
  </si>
  <si>
    <t>Universitas Kristen PETRA Sby</t>
  </si>
  <si>
    <t>40282</t>
  </si>
  <si>
    <t>Mochammad Sonif</t>
  </si>
  <si>
    <t>Personnel Management</t>
  </si>
  <si>
    <t>HRD &amp; GA/HRD &amp; GA/HR Operations</t>
  </si>
  <si>
    <t>Pertanian Terpadu</t>
  </si>
  <si>
    <t>Yayasan 'Ainul Ulum</t>
  </si>
  <si>
    <t>Legal &amp; General Affairs</t>
  </si>
  <si>
    <t>40602</t>
  </si>
  <si>
    <t>Anita Wijayanti</t>
  </si>
  <si>
    <t>Legal</t>
  </si>
  <si>
    <t>HRD &amp; GA/HRD &amp; GA/Legal &amp; General Affairs</t>
  </si>
  <si>
    <t>Hukum</t>
  </si>
  <si>
    <t>Universitas Bhayangkara</t>
  </si>
  <si>
    <t>40917</t>
  </si>
  <si>
    <t>Muhammad Wahyu Adam Firmansyah</t>
  </si>
  <si>
    <t>General Affairs</t>
  </si>
  <si>
    <t>40759</t>
  </si>
  <si>
    <t>Andi Trias Permana, ST</t>
  </si>
  <si>
    <t>TEKNIK KIMIA</t>
  </si>
  <si>
    <t>UPN VETERAN SURABAYA</t>
  </si>
  <si>
    <t>40089</t>
  </si>
  <si>
    <t>Usman Amin</t>
  </si>
  <si>
    <t>Driver</t>
  </si>
  <si>
    <t>HRD &amp; GA/HRD &amp; GA/Legal &amp; General Affairs/General Affairs</t>
  </si>
  <si>
    <t>40095</t>
  </si>
  <si>
    <t>Yudi Iswandi</t>
  </si>
  <si>
    <t>40116</t>
  </si>
  <si>
    <t>Ismail</t>
  </si>
  <si>
    <t>40124</t>
  </si>
  <si>
    <t>Supriono</t>
  </si>
  <si>
    <t>40129</t>
  </si>
  <si>
    <t>40309</t>
  </si>
  <si>
    <t>Hairul</t>
  </si>
  <si>
    <t>40327</t>
  </si>
  <si>
    <t>Moh. Ainur Rodik</t>
  </si>
  <si>
    <t>40755</t>
  </si>
  <si>
    <t>Setiarso</t>
  </si>
  <si>
    <t>40893</t>
  </si>
  <si>
    <t>Udi</t>
  </si>
  <si>
    <t>40902</t>
  </si>
  <si>
    <t>Edy</t>
  </si>
  <si>
    <t>40167</t>
  </si>
  <si>
    <t>Mohammad Nur Huda</t>
  </si>
  <si>
    <t>Cleaning Service Umum</t>
  </si>
  <si>
    <t>40056</t>
  </si>
  <si>
    <t>Sugiyono</t>
  </si>
  <si>
    <t>Worker</t>
  </si>
  <si>
    <t>SD</t>
  </si>
  <si>
    <t>40337</t>
  </si>
  <si>
    <t>W i j i o n o</t>
  </si>
  <si>
    <t>40894</t>
  </si>
  <si>
    <t>Lestari Agustin</t>
  </si>
  <si>
    <t>General Affairs Jakarta</t>
  </si>
  <si>
    <t>Perhotelan</t>
  </si>
  <si>
    <t>SMK SAHID</t>
  </si>
  <si>
    <t>40900</t>
  </si>
  <si>
    <t>Agitiah</t>
  </si>
  <si>
    <t>40919</t>
  </si>
  <si>
    <t>Sunan Dimas Budihartoni</t>
  </si>
  <si>
    <t>40473</t>
  </si>
  <si>
    <t>Karyanto</t>
  </si>
  <si>
    <t>Safety</t>
  </si>
  <si>
    <t>Teknik Management Industry</t>
  </si>
  <si>
    <t>UPN Veteran Jawa Timur</t>
  </si>
  <si>
    <t>40389</t>
  </si>
  <si>
    <t>Dwi Weko Setyawan</t>
  </si>
  <si>
    <t>HRD &amp; GA/HRD &amp; GA/Safety</t>
  </si>
  <si>
    <t>Pertanian</t>
  </si>
  <si>
    <t>PT ANEKA COFFEE INDUSTRY</t>
  </si>
  <si>
    <t>40269</t>
  </si>
  <si>
    <t>Siung Sumaolan</t>
  </si>
  <si>
    <t>Fakultas Hukum</t>
  </si>
  <si>
    <t>Universitas Merdeka</t>
  </si>
  <si>
    <t>40287</t>
  </si>
  <si>
    <t>Sudibyo</t>
  </si>
  <si>
    <t>Ekonomi manajemen</t>
  </si>
  <si>
    <t>Universitas Bayangkara surabaya</t>
  </si>
  <si>
    <t>40635</t>
  </si>
  <si>
    <t>Indah Puji Astutik</t>
  </si>
  <si>
    <t>40539</t>
  </si>
  <si>
    <t>Hartono</t>
  </si>
  <si>
    <t>Security</t>
  </si>
  <si>
    <t>40138</t>
  </si>
  <si>
    <t>Kuswanto</t>
  </si>
  <si>
    <t>HRD &amp; GA/HRD &amp; GA/Security</t>
  </si>
  <si>
    <t>40544</t>
  </si>
  <si>
    <t>Djukiyanto</t>
  </si>
  <si>
    <t>40891</t>
  </si>
  <si>
    <t>Ahmad Khoirul Fanani</t>
  </si>
  <si>
    <t>ADMINISTRASI BISNIS</t>
  </si>
  <si>
    <t>UNIVERSITAS BRAWIJAYA</t>
  </si>
  <si>
    <t>40918</t>
  </si>
  <si>
    <t>Prila Harry Widagdo</t>
  </si>
  <si>
    <t>40072</t>
  </si>
  <si>
    <t>Rini Dwi Setijowati</t>
  </si>
  <si>
    <t>Secretary</t>
  </si>
  <si>
    <t>Corporate Secretariate</t>
  </si>
  <si>
    <t>Akutansi</t>
  </si>
  <si>
    <t>SMEA Pawiyatan</t>
  </si>
  <si>
    <t>HR Strategy &amp; Planning</t>
  </si>
  <si>
    <t>40931</t>
  </si>
  <si>
    <t>Maria Mulia Nugroho</t>
  </si>
  <si>
    <t>Specialist</t>
  </si>
  <si>
    <t>HRD &amp; GA/HR Strategy &amp; Planning</t>
  </si>
  <si>
    <t>Supply Chain</t>
  </si>
  <si>
    <t>50920</t>
  </si>
  <si>
    <t>Ardianto</t>
  </si>
  <si>
    <t>50935</t>
  </si>
  <si>
    <t>Nurintan Purwandanik</t>
  </si>
  <si>
    <t>50614</t>
  </si>
  <si>
    <t>Yonathan Libertius</t>
  </si>
  <si>
    <t>PPIC</t>
  </si>
  <si>
    <t>Supply Chain/Supply Chain</t>
  </si>
  <si>
    <t>50068</t>
  </si>
  <si>
    <t>Nunuk Susiati Riandani</t>
  </si>
  <si>
    <t>Supply Chain/Supply Chain/PPIC</t>
  </si>
  <si>
    <t>50761</t>
  </si>
  <si>
    <t>Zainul Yoni Arifin</t>
  </si>
  <si>
    <t>SMKN 1 JEMBER</t>
  </si>
  <si>
    <t>50847</t>
  </si>
  <si>
    <t>Rifqi Abiyyu Ghofarinda</t>
  </si>
  <si>
    <t>Administrasi Perkantoran</t>
  </si>
  <si>
    <t>Universitas Airlangga</t>
  </si>
  <si>
    <t>50916</t>
  </si>
  <si>
    <t>Yoga Rizki Pratama Fuady</t>
  </si>
  <si>
    <t>50021</t>
  </si>
  <si>
    <t>I Nyoman Laba</t>
  </si>
  <si>
    <t>Warehouse</t>
  </si>
  <si>
    <t>50489</t>
  </si>
  <si>
    <t>Totok Dwi Suhermanto</t>
  </si>
  <si>
    <t>Raw Material Warehouse</t>
  </si>
  <si>
    <t>Supply Chain/Supply Chain/Warehouse</t>
  </si>
  <si>
    <t>SMK Mardi Tresno</t>
  </si>
  <si>
    <t>50638</t>
  </si>
  <si>
    <t>Farhan Wijaya</t>
  </si>
  <si>
    <t>Universitas</t>
  </si>
  <si>
    <t>50928</t>
  </si>
  <si>
    <t>Muhammad Nur Ardiansyah</t>
  </si>
  <si>
    <t>Parts &amp; Technical Warehouse</t>
  </si>
  <si>
    <t>50388</t>
  </si>
  <si>
    <t>Riyadi Santosa</t>
  </si>
  <si>
    <t>Finished Goods Warehouse</t>
  </si>
  <si>
    <t>SMK KRIAN</t>
  </si>
  <si>
    <t>50078</t>
  </si>
  <si>
    <t>Ellia</t>
  </si>
  <si>
    <t>Raw Material Warehouse Team</t>
  </si>
  <si>
    <t>Supply Chain/Supply Chain/Warehouse/Raw Material Warehouse</t>
  </si>
  <si>
    <t>50558</t>
  </si>
  <si>
    <t>Abdul Wahib</t>
  </si>
  <si>
    <t>50707</t>
  </si>
  <si>
    <t>Umbar</t>
  </si>
  <si>
    <t xml:space="preserve">Mesin tenaga </t>
  </si>
  <si>
    <t>TAMAN SISWA</t>
  </si>
  <si>
    <t>50709</t>
  </si>
  <si>
    <t>Yeri Noviantoro</t>
  </si>
  <si>
    <t>MANAJEMEN PERHOTELAN</t>
  </si>
  <si>
    <t>SOB MALANG</t>
  </si>
  <si>
    <t>50929</t>
  </si>
  <si>
    <t>R. Bayu Surma Nour Rachman</t>
  </si>
  <si>
    <t>50130</t>
  </si>
  <si>
    <t>Iswanto</t>
  </si>
  <si>
    <t>50166</t>
  </si>
  <si>
    <t>Nur Salim</t>
  </si>
  <si>
    <t>50491</t>
  </si>
  <si>
    <t>Supriadi</t>
  </si>
  <si>
    <t>50492</t>
  </si>
  <si>
    <t>Ikwanto</t>
  </si>
  <si>
    <t>50493</t>
  </si>
  <si>
    <t>Djumari</t>
  </si>
  <si>
    <t>50930</t>
  </si>
  <si>
    <t>Moch. Ihvan Arif</t>
  </si>
  <si>
    <t>Supporting Material Warehouse</t>
  </si>
  <si>
    <t>50402</t>
  </si>
  <si>
    <t>Sutaib</t>
  </si>
  <si>
    <t>50058</t>
  </si>
  <si>
    <t>Sugiyanto</t>
  </si>
  <si>
    <t>50279</t>
  </si>
  <si>
    <t>R. Ervan Krisbianto</t>
  </si>
  <si>
    <t>Forklift</t>
  </si>
  <si>
    <t>50387</t>
  </si>
  <si>
    <t>Mahpudi</t>
  </si>
  <si>
    <t>50463</t>
  </si>
  <si>
    <t>Slamet Nurdin</t>
  </si>
  <si>
    <t>50334</t>
  </si>
  <si>
    <t>Suliono</t>
  </si>
  <si>
    <t>SMEA</t>
  </si>
  <si>
    <t>50340</t>
  </si>
  <si>
    <t>Ngateman</t>
  </si>
  <si>
    <t>50205</t>
  </si>
  <si>
    <t>Khoiron Asyhari</t>
  </si>
  <si>
    <t>Finished Goods Warehouse Team</t>
  </si>
  <si>
    <t>Supply Chain/Supply Chain/Warehouse/Finished Goods Warehouse</t>
  </si>
  <si>
    <t>50842</t>
  </si>
  <si>
    <t>Citra Desi Lukitasari</t>
  </si>
  <si>
    <t>Pendidikan Matematika</t>
  </si>
  <si>
    <t>FkIP</t>
  </si>
  <si>
    <t>50913</t>
  </si>
  <si>
    <t>Parianto</t>
  </si>
  <si>
    <t>50096</t>
  </si>
  <si>
    <t>Warsono</t>
  </si>
  <si>
    <t>50165</t>
  </si>
  <si>
    <t>Winoto</t>
  </si>
  <si>
    <t>50265</t>
  </si>
  <si>
    <t>Saikul Maarif</t>
  </si>
  <si>
    <t>50370</t>
  </si>
  <si>
    <t>Hary Pujianto</t>
  </si>
  <si>
    <t xml:space="preserve">Mesin </t>
  </si>
  <si>
    <t>50403</t>
  </si>
  <si>
    <t>Mukhamad Kusairi</t>
  </si>
  <si>
    <t>Jurusan mesin</t>
  </si>
  <si>
    <t>Karyawan/spsi</t>
  </si>
  <si>
    <t>50488</t>
  </si>
  <si>
    <t>Siswoyo</t>
  </si>
  <si>
    <t>50496</t>
  </si>
  <si>
    <t>Saparimegandi</t>
  </si>
  <si>
    <t>50808</t>
  </si>
  <si>
    <t>Denni Eka Arnanda</t>
  </si>
  <si>
    <t>Parts &amp; Technical Warehouse Team</t>
  </si>
  <si>
    <t>Supply Chain/Supply Chain/Warehouse/Parts &amp; Technical Warehouse</t>
  </si>
  <si>
    <t>50424</t>
  </si>
  <si>
    <t>Riadi</t>
  </si>
  <si>
    <t>50710</t>
  </si>
  <si>
    <t>Nasroful Muasfar</t>
  </si>
  <si>
    <t>Purchasing</t>
  </si>
  <si>
    <t>50060</t>
  </si>
  <si>
    <t>Edy Purwanto</t>
  </si>
  <si>
    <t>Supply Chain/Supply Chain/Purchasing</t>
  </si>
  <si>
    <t>50609</t>
  </si>
  <si>
    <t>Riska Eka Yunita</t>
  </si>
  <si>
    <t>Komputer Akuntansi</t>
  </si>
  <si>
    <t>IP</t>
  </si>
  <si>
    <t>50897</t>
  </si>
  <si>
    <t>Devi Alvionita Putri Hadi</t>
  </si>
  <si>
    <t>AKUNTANSI</t>
  </si>
  <si>
    <t>UNIVERSITAS PEMBANGUNAN NASIONAL</t>
  </si>
  <si>
    <t>50949</t>
  </si>
  <si>
    <t>Cindy Yogita Lodena</t>
  </si>
  <si>
    <t>50075</t>
  </si>
  <si>
    <t>Tutik Yuliati</t>
  </si>
  <si>
    <t>EXIM</t>
  </si>
  <si>
    <t>50606</t>
  </si>
  <si>
    <t>Moch. Arif Suyadi</t>
  </si>
  <si>
    <t>Supply Chain/Supply Chain/EXIM</t>
  </si>
  <si>
    <t>50637</t>
  </si>
  <si>
    <t>Pipit Noor Kivani</t>
  </si>
  <si>
    <t>50940</t>
  </si>
  <si>
    <t>Fandy Arya Gunadi</t>
  </si>
  <si>
    <t>Research &amp; Development</t>
  </si>
  <si>
    <t>60941</t>
  </si>
  <si>
    <t>Goldinike Darmasetiawan</t>
  </si>
  <si>
    <t>60764</t>
  </si>
  <si>
    <t>Yohana Fransisca Gani</t>
  </si>
  <si>
    <t>Research &amp; Development/Research &amp; Development</t>
  </si>
  <si>
    <t>Teknologi Pangan &amp; Gizi</t>
  </si>
  <si>
    <t>Universitas Katolik Widya Mandala Surabaya</t>
  </si>
  <si>
    <t>60338</t>
  </si>
  <si>
    <t>Sokhifah</t>
  </si>
  <si>
    <t>Research &amp; Development/Research &amp; Development/Research &amp; Development</t>
  </si>
  <si>
    <t>60658</t>
  </si>
  <si>
    <t>Mulyadi</t>
  </si>
  <si>
    <t>Staff</t>
  </si>
  <si>
    <t>60692</t>
  </si>
  <si>
    <t>Nur Wahyudi</t>
  </si>
  <si>
    <t>60945</t>
  </si>
  <si>
    <t>Verena Angelica Anthonijs</t>
  </si>
  <si>
    <t>60947</t>
  </si>
  <si>
    <t>Muchammad Musthofa</t>
  </si>
  <si>
    <t>60285</t>
  </si>
  <si>
    <t>Eko Nedianto</t>
  </si>
  <si>
    <t>Technical &amp; Product Development</t>
  </si>
  <si>
    <t>60399</t>
  </si>
  <si>
    <t>Finance &amp; Accounting</t>
  </si>
  <si>
    <t>70428</t>
  </si>
  <si>
    <t>Lusiana Irawati</t>
  </si>
  <si>
    <t>Finance &amp; Treasury</t>
  </si>
  <si>
    <t>70782</t>
  </si>
  <si>
    <t>Yani Ayu Nur Hamidia, S.Ak.</t>
  </si>
  <si>
    <t>Treasury</t>
  </si>
  <si>
    <t>Finance &amp; Accounting/Finance &amp; Treasury</t>
  </si>
  <si>
    <t>UNIVERSITAS PEMBANGUNAN NASIONAL "VETERAN" JAWA TIMUR</t>
  </si>
  <si>
    <t>70809</t>
  </si>
  <si>
    <t>Elsa Widiyana Wati</t>
  </si>
  <si>
    <t>Finance Operations</t>
  </si>
  <si>
    <t>STIE Widya Wiwaha Yogyakarta</t>
  </si>
  <si>
    <t>70895</t>
  </si>
  <si>
    <t>Farah Jihan Nabilah</t>
  </si>
  <si>
    <t>Management</t>
  </si>
  <si>
    <t>Universitas Pembangunan Nasional “Veteran” Jawa Timur</t>
  </si>
  <si>
    <t>70085</t>
  </si>
  <si>
    <t>Elvi Puspasari Oetama</t>
  </si>
  <si>
    <t>Accounting &amp; Tax</t>
  </si>
  <si>
    <t>Universitas Putra Bangsa</t>
  </si>
  <si>
    <t>70059</t>
  </si>
  <si>
    <t>Dra.Sri Panggieh</t>
  </si>
  <si>
    <t>General Accounting &amp; Reporting</t>
  </si>
  <si>
    <t>Finance &amp; Accounting/Accounting &amp; Tax</t>
  </si>
  <si>
    <t>FISIPOL</t>
  </si>
  <si>
    <t>Universitas Dr.Soetomo Surabaya</t>
  </si>
  <si>
    <t>70846</t>
  </si>
  <si>
    <t>Amelia Sholikhah</t>
  </si>
  <si>
    <t>70944</t>
  </si>
  <si>
    <t>Mochammad Fahmi Akbar</t>
  </si>
  <si>
    <t>Costing, Inventory &amp; Tax</t>
  </si>
  <si>
    <t>70041</t>
  </si>
  <si>
    <t>Alfinah</t>
  </si>
  <si>
    <t>MANAJEMEN</t>
  </si>
  <si>
    <t>STIE WIDYA DHARMA</t>
  </si>
  <si>
    <t>80499</t>
  </si>
  <si>
    <t>Stephen Lesmana</t>
  </si>
  <si>
    <t>Information Technology</t>
  </si>
  <si>
    <t>TEKNIK INFORMATIKA</t>
  </si>
  <si>
    <t>SEKOLAH TINGGI TEKNIK SURABAYA</t>
  </si>
  <si>
    <t>80252</t>
  </si>
  <si>
    <t>Francisca</t>
  </si>
  <si>
    <t>Finance &amp; Accounting/Information Technology</t>
  </si>
  <si>
    <t>80939</t>
  </si>
  <si>
    <t>Steven Hariyadi</t>
  </si>
  <si>
    <t>IT Support &amp; Operation</t>
  </si>
  <si>
    <t>Finance &amp; Accounting/Information Technology/Information Technology</t>
  </si>
  <si>
    <t>90207</t>
  </si>
  <si>
    <t>Drs. Handijanto T.</t>
  </si>
  <si>
    <t>Sales &amp; Marketing</t>
  </si>
  <si>
    <t>90908</t>
  </si>
  <si>
    <t>Hariady</t>
  </si>
  <si>
    <t>Domestic Sales &amp; Marketing</t>
  </si>
  <si>
    <t>Sastra China</t>
  </si>
  <si>
    <t>Universitas Bina Nusantara</t>
  </si>
  <si>
    <t>90932</t>
  </si>
  <si>
    <t>Juan Antoni Darmawan</t>
  </si>
  <si>
    <t>Sales Team</t>
  </si>
  <si>
    <t>Sales &amp; Marketing/Domestic Sales &amp; Marketing</t>
  </si>
  <si>
    <t>90911</t>
  </si>
  <si>
    <t>Dhia Fauzan Rizaldy</t>
  </si>
  <si>
    <t>Marketing Support</t>
  </si>
  <si>
    <t>90910</t>
  </si>
  <si>
    <t>Linda Christanti</t>
  </si>
  <si>
    <t>International Sales &amp; Marketing</t>
  </si>
  <si>
    <t>Sastra Prancis</t>
  </si>
  <si>
    <t>90921</t>
  </si>
  <si>
    <t>Christine</t>
  </si>
  <si>
    <t>Sales &amp; Marketing/International Sales &amp; Marketing</t>
  </si>
  <si>
    <t>90934</t>
  </si>
  <si>
    <t>Alexandra Aubree Maharani Putri</t>
  </si>
  <si>
    <t>International Sales &amp; Marketing (Far East)</t>
  </si>
  <si>
    <t>Sales &amp; Marketing/International Sales &amp; Marketing (Far East)</t>
  </si>
  <si>
    <t>20914</t>
  </si>
  <si>
    <t>Muh Hizbullah Imansyah</t>
  </si>
  <si>
    <t>Packing Administration</t>
  </si>
  <si>
    <t>Cek bagian</t>
  </si>
  <si>
    <t>01-00-000-00</t>
  </si>
  <si>
    <t>Erickson Hamonangan</t>
  </si>
  <si>
    <t>20-00-000-00</t>
  </si>
  <si>
    <t>20-04-000-00</t>
  </si>
  <si>
    <t>20-04-001-00</t>
  </si>
  <si>
    <t>20-04-002-00</t>
  </si>
  <si>
    <t>Lift</t>
  </si>
  <si>
    <t>20-04-003-00</t>
  </si>
  <si>
    <t>20186</t>
  </si>
  <si>
    <t>Suparno</t>
  </si>
  <si>
    <t>20053</t>
  </si>
  <si>
    <t>Agus Juswantono</t>
  </si>
  <si>
    <t>20-04-004-00</t>
  </si>
  <si>
    <t>20-05-000-00</t>
  </si>
  <si>
    <t>Deni Triwihananto</t>
  </si>
  <si>
    <t>Imro'atin Ma'rifatin</t>
  </si>
  <si>
    <t>10275</t>
  </si>
  <si>
    <t>Ignatius Ferry Darjanto T</t>
  </si>
  <si>
    <t xml:space="preserve">Zulfikri Suryo Wahyudi </t>
  </si>
  <si>
    <t>30247</t>
  </si>
  <si>
    <t>Tio Lily Sujiati</t>
  </si>
  <si>
    <t>Laboratory &amp; Quality Control</t>
  </si>
  <si>
    <t>30-00-000-00</t>
  </si>
  <si>
    <t>Ratih Dhikapramadi Putri</t>
  </si>
  <si>
    <t>30-07-000-00</t>
  </si>
  <si>
    <t>30-07-013-00</t>
  </si>
  <si>
    <t>Dian Hermawan.Md</t>
  </si>
  <si>
    <t>Nur Sait ,A.MD</t>
  </si>
  <si>
    <t>QC Operations</t>
  </si>
  <si>
    <t>QA Operations</t>
  </si>
  <si>
    <t>30-07-015-00</t>
  </si>
  <si>
    <t>FSQM System</t>
  </si>
  <si>
    <t>30-08-000-00</t>
  </si>
  <si>
    <t>Susilowati</t>
  </si>
  <si>
    <t>40-00-000-00</t>
  </si>
  <si>
    <t>Muhammad Sonip</t>
  </si>
  <si>
    <t>40-11-000-00</t>
  </si>
  <si>
    <t>40271</t>
  </si>
  <si>
    <t>Slamet Junaedi</t>
  </si>
  <si>
    <t>40682</t>
  </si>
  <si>
    <t>Luky Kriswanto</t>
  </si>
  <si>
    <t>Payroll</t>
  </si>
  <si>
    <t>40-11-019-00</t>
  </si>
  <si>
    <t>40-12-000-00</t>
  </si>
  <si>
    <t>50-00-000-00</t>
  </si>
  <si>
    <t>50-06-000-00</t>
  </si>
  <si>
    <t>Mokhamad Kusairi</t>
  </si>
  <si>
    <t>50-06-009-00</t>
  </si>
  <si>
    <t>R.Bayu Surma Nour Rahcman</t>
  </si>
  <si>
    <t>40075</t>
  </si>
  <si>
    <t>40637</t>
  </si>
  <si>
    <t>50-06-011-00</t>
  </si>
  <si>
    <t>40606</t>
  </si>
  <si>
    <t>60-00-000-00</t>
  </si>
  <si>
    <t>60-10-000-00</t>
  </si>
  <si>
    <t>70-00-000-00</t>
  </si>
  <si>
    <t>70-13-000-00</t>
  </si>
  <si>
    <t>Dra. Sri Panggieh</t>
  </si>
  <si>
    <t>Mohammad Fahmi Akbar</t>
  </si>
  <si>
    <t>IT</t>
  </si>
  <si>
    <t>80-15-000-00</t>
  </si>
  <si>
    <t>Handijanto Tjandradjaja</t>
  </si>
  <si>
    <t>90-00-000-00</t>
  </si>
  <si>
    <t>90-02-000-00</t>
  </si>
  <si>
    <t>Alexandra Aubree</t>
  </si>
  <si>
    <t>Kode</t>
  </si>
  <si>
    <t>20</t>
  </si>
  <si>
    <t>01</t>
  </si>
  <si>
    <t>001</t>
  </si>
  <si>
    <t>30</t>
  </si>
  <si>
    <t>02</t>
  </si>
  <si>
    <t>002</t>
  </si>
  <si>
    <t>40</t>
  </si>
  <si>
    <t>03</t>
  </si>
  <si>
    <t>003</t>
  </si>
  <si>
    <t>50</t>
  </si>
  <si>
    <t>04</t>
  </si>
  <si>
    <t>004</t>
  </si>
  <si>
    <t>60</t>
  </si>
  <si>
    <t>05</t>
  </si>
  <si>
    <t>005</t>
  </si>
  <si>
    <t>70</t>
  </si>
  <si>
    <t>06</t>
  </si>
  <si>
    <t>006</t>
  </si>
  <si>
    <t>80</t>
  </si>
  <si>
    <t>07</t>
  </si>
  <si>
    <t>007</t>
  </si>
  <si>
    <t>90</t>
  </si>
  <si>
    <t>08</t>
  </si>
  <si>
    <t>008</t>
  </si>
  <si>
    <t>00</t>
  </si>
  <si>
    <t>09</t>
  </si>
  <si>
    <t>009</t>
  </si>
  <si>
    <t>10</t>
  </si>
  <si>
    <t>010</t>
  </si>
  <si>
    <t>11</t>
  </si>
  <si>
    <t>011</t>
  </si>
  <si>
    <t>12</t>
  </si>
  <si>
    <t>012</t>
  </si>
  <si>
    <t>13</t>
  </si>
  <si>
    <t>013</t>
  </si>
  <si>
    <t>14</t>
  </si>
  <si>
    <t>014</t>
  </si>
  <si>
    <t>15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</si>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</sst>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quotePrefix="1" applyFont="1"/>
    <xf numFmtId="0" fontId="3" fillId="0" borderId="0" xfId="0" applyFont="1"/>
    <xf numFmtId="0" fontId="3" fillId="0" borderId="0" xfId="0" applyFont="1" applyAlignment="1">
      <alignment vertical="center"/>
    </xf>
    <xf numFmtId="0" fontId="0" fillId="2" borderId="0" xfId="0" applyFill="1"/>
    <xf numFmtId="0" fontId="0" fillId="0" borderId="0" xfId="0" quotePrefix="1"/>
    <xf numFmtId="14" fontId="0" fillId="0" borderId="0" xfId="0" applyNumberFormat="1"/>
    <xf numFmtId="14" fontId="0" fillId="2" borderId="0" xfId="0" applyNumberFormat="1" applyFill="1"/>
    <xf numFmtId="0" fontId="0" fillId="0" borderId="0" xfId="0" applyNumberFormat="1"/>
  </cellXfs>
  <cellStyles count="1">
    <cellStyle name="Normal" xfId="0" builtinId="0"/>
  </cellStyles>
  <dxfs count="30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numFmt numFmtId="0" formatCode="General"/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numFmt numFmtId="0" formatCode="General"/>
    </dxf>
    <dxf>
      <numFmt numFmtId="164" formatCode="dd/mm/yyyy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nekacoffeeid-my.sharepoint.com/personal/putra_anekacoffee_com/Documents/HR%20Strategic%20Management/Employee%20Dashboard.xlsx" TargetMode="External"/><Relationship Id="rId1" Type="http://schemas.openxmlformats.org/officeDocument/2006/relationships/externalLinkPath" Target="https://anekacoffeeid-my.sharepoint.com/personal/putra_anekacoffee_com/Documents/HR%20Strategic%20Management/Employee%20Dashboard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Users/DELL/Downloads/20260722%20Employee%20Database.xlsx" TargetMode="External"/><Relationship Id="rId2" Type="http://schemas.openxmlformats.org/officeDocument/2006/relationships/externalLinkPath" Target="file:///C:\Users\DELL\Downloads\20260722%20Employee%20Database.xlsx" TargetMode="External"/><Relationship Id="rId1" Type="http://schemas.openxmlformats.org/officeDocument/2006/relationships/externalLinkPath" Target="/Users/DELL/Downloads/20260722%20Employee%20Data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il1"/>
      <sheetName val="Detail2"/>
      <sheetName val="Detail3"/>
      <sheetName val="Detail4"/>
      <sheetName val="Detail5"/>
      <sheetName val="Detail6"/>
      <sheetName val="Detail7"/>
      <sheetName val="Detail8"/>
      <sheetName val="Detail9"/>
      <sheetName val="Detail10"/>
      <sheetName val="Detail11"/>
      <sheetName val="Detail12"/>
      <sheetName val="Detail13"/>
      <sheetName val="Detail14"/>
      <sheetName val="Sheet3"/>
      <sheetName val="Dashboard"/>
      <sheetName val="Master"/>
      <sheetName val="Retired Employee"/>
      <sheetName val="Master Kategori"/>
      <sheetName val="Employee 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4">
          <cell r="B4" t="str">
            <v>Kode Karyawan</v>
          </cell>
          <cell r="C4" t="str">
            <v>Nama Karyawan</v>
          </cell>
          <cell r="D4" t="str">
            <v>Alamat</v>
          </cell>
          <cell r="E4" t="str">
            <v>Kota</v>
          </cell>
          <cell r="F4" t="str">
            <v>Tlp</v>
          </cell>
          <cell r="G4" t="str">
            <v>No.Identitas</v>
          </cell>
          <cell r="H4" t="str">
            <v>HP/Pager</v>
          </cell>
          <cell r="I4" t="str">
            <v>Tgl Efektif</v>
          </cell>
          <cell r="J4" t="str">
            <v>Tgl Lahir</v>
          </cell>
          <cell r="K4" t="str">
            <v>Tgl Lahir Fixed</v>
          </cell>
          <cell r="L4" t="str">
            <v>Agama</v>
          </cell>
          <cell r="M4" t="str">
            <v>Divisi</v>
          </cell>
          <cell r="N4" t="str">
            <v>Departemen</v>
          </cell>
          <cell r="O4" t="str">
            <v>Seksi</v>
          </cell>
          <cell r="P4" t="str">
            <v>Jabatan</v>
          </cell>
          <cell r="Q4" t="str">
            <v>Kode Grade</v>
          </cell>
          <cell r="R4" t="str">
            <v>Stat Shift</v>
          </cell>
          <cell r="S4" t="str">
            <v>Status</v>
          </cell>
          <cell r="T4" t="str">
            <v>Shift</v>
          </cell>
          <cell r="U4" t="str">
            <v>Grp Shift</v>
          </cell>
          <cell r="V4" t="str">
            <v>Kode Gol Gaji</v>
          </cell>
          <cell r="W4" t="str">
            <v>Usia</v>
          </cell>
          <cell r="X4" t="str">
            <v>Masa Kerja</v>
          </cell>
          <cell r="Y4" t="str">
            <v>Stat. Pajak</v>
          </cell>
          <cell r="Z4" t="str">
            <v>Masa kerja efektif</v>
          </cell>
          <cell r="AA4" t="str">
            <v>Stat JPK</v>
          </cell>
          <cell r="AB4" t="str">
            <v>Stat Jaminan Kecelakaan</v>
          </cell>
          <cell r="AC4" t="str">
            <v>Stat Jaminan Kematian</v>
          </cell>
        </row>
        <row r="5">
          <cell r="B5" t="str">
            <v>00084</v>
          </cell>
          <cell r="C5" t="str">
            <v>Sui Ing (Inge Elanda)</v>
          </cell>
          <cell r="D5" t="str">
            <v>Water Place Residence A-18-03 RT.02 RW.09 Babatan Wiyung</v>
          </cell>
          <cell r="E5" t="str">
            <v>Surabaya</v>
          </cell>
          <cell r="F5" t="str">
            <v>031 - 5997463</v>
          </cell>
          <cell r="G5" t="str">
            <v>3578264806700006</v>
          </cell>
          <cell r="H5" t="str">
            <v>0816516086</v>
          </cell>
          <cell r="I5">
            <v>44933</v>
          </cell>
          <cell r="J5">
            <v>25786</v>
          </cell>
          <cell r="K5"/>
          <cell r="L5" t="str">
            <v>Kristen Katolik</v>
          </cell>
          <cell r="M5" t="str">
            <v>Manajemen</v>
          </cell>
          <cell r="N5" t="str">
            <v>Manajemen</v>
          </cell>
          <cell r="O5" t="str">
            <v>Manajemen</v>
          </cell>
          <cell r="P5" t="str">
            <v>Vice President</v>
          </cell>
          <cell r="Q5" t="str">
            <v>I</v>
          </cell>
          <cell r="R5" t="str">
            <v>Shift</v>
          </cell>
          <cell r="S5" t="str">
            <v>Aktif</v>
          </cell>
          <cell r="T5" t="str">
            <v>NS2</v>
          </cell>
          <cell r="U5"/>
          <cell r="V5" t="str">
            <v>IG_ GA</v>
          </cell>
          <cell r="W5">
            <v>56</v>
          </cell>
          <cell r="X5">
            <v>30</v>
          </cell>
          <cell r="Y5" t="str">
            <v>T/0</v>
          </cell>
          <cell r="Z5">
            <v>3</v>
          </cell>
          <cell r="AA5" t="str">
            <v>Ya</v>
          </cell>
          <cell r="AB5" t="str">
            <v>Ya</v>
          </cell>
          <cell r="AC5" t="str">
            <v>Ya</v>
          </cell>
        </row>
        <row r="6">
          <cell r="B6" t="str">
            <v>00751</v>
          </cell>
          <cell r="C6" t="str">
            <v>Roy Jr. Gan Wei What</v>
          </cell>
          <cell r="D6" t="str">
            <v>Waterplace Residence Tower RME 11 Babatan, Wiyung</v>
          </cell>
          <cell r="E6" t="str">
            <v>Surabaya</v>
          </cell>
          <cell r="F6"/>
          <cell r="G6" t="str">
            <v>3578202401870001</v>
          </cell>
          <cell r="H6" t="str">
            <v>089607105918</v>
          </cell>
          <cell r="I6">
            <v>45323</v>
          </cell>
          <cell r="J6" t="e">
            <v>#VALUE!</v>
          </cell>
          <cell r="K6"/>
          <cell r="L6" t="str">
            <v>Kristen Protestan</v>
          </cell>
          <cell r="M6" t="str">
            <v>Manajemen</v>
          </cell>
          <cell r="N6" t="str">
            <v>Manajemen</v>
          </cell>
          <cell r="O6" t="str">
            <v>Manajemen</v>
          </cell>
          <cell r="P6" t="str">
            <v>Manager</v>
          </cell>
          <cell r="Q6" t="str">
            <v>I</v>
          </cell>
          <cell r="R6" t="str">
            <v>Shift</v>
          </cell>
          <cell r="S6" t="str">
            <v>Aktif</v>
          </cell>
          <cell r="T6" t="str">
            <v>NS2</v>
          </cell>
          <cell r="U6"/>
          <cell r="V6" t="str">
            <v>Instant</v>
          </cell>
          <cell r="W6">
            <v>39</v>
          </cell>
          <cell r="X6">
            <v>2</v>
          </cell>
          <cell r="Y6" t="str">
            <v>K/1</v>
          </cell>
          <cell r="Z6">
            <v>2</v>
          </cell>
          <cell r="AA6" t="str">
            <v>Ya</v>
          </cell>
          <cell r="AB6" t="str">
            <v>Ya</v>
          </cell>
          <cell r="AC6" t="str">
            <v>Ya</v>
          </cell>
        </row>
        <row r="7">
          <cell r="B7" t="str">
            <v>00903</v>
          </cell>
          <cell r="C7" t="str">
            <v>Johanes Irsan</v>
          </cell>
          <cell r="D7" t="str">
            <v>Vila Valensia Blok CA5 No.2, Jl. Lontar Indah XVII, Lontar, Sambikerep</v>
          </cell>
          <cell r="E7" t="str">
            <v>Surabaya</v>
          </cell>
          <cell r="F7"/>
          <cell r="G7" t="str">
            <v>3174040409870002</v>
          </cell>
          <cell r="H7" t="str">
            <v>08561471118</v>
          </cell>
          <cell r="I7">
            <v>45413</v>
          </cell>
          <cell r="J7">
            <v>31876</v>
          </cell>
          <cell r="K7"/>
          <cell r="L7" t="str">
            <v>Kristen Protestan</v>
          </cell>
          <cell r="M7" t="str">
            <v>Manajemen</v>
          </cell>
          <cell r="N7" t="str">
            <v>Manajemen</v>
          </cell>
          <cell r="O7" t="str">
            <v>Manajemen</v>
          </cell>
          <cell r="P7" t="str">
            <v>Vice President</v>
          </cell>
          <cell r="Q7" t="str">
            <v>I</v>
          </cell>
          <cell r="R7" t="str">
            <v>Shift</v>
          </cell>
          <cell r="S7" t="str">
            <v>Aktif</v>
          </cell>
          <cell r="T7" t="str">
            <v>NS2</v>
          </cell>
          <cell r="U7"/>
          <cell r="V7" t="str">
            <v>IG_ GA</v>
          </cell>
          <cell r="W7">
            <v>38</v>
          </cell>
          <cell r="X7">
            <v>2</v>
          </cell>
          <cell r="Y7" t="str">
            <v>K/1</v>
          </cell>
          <cell r="Z7">
            <v>2</v>
          </cell>
          <cell r="AA7" t="str">
            <v>Ya</v>
          </cell>
          <cell r="AB7" t="str">
            <v>Ya</v>
          </cell>
          <cell r="AC7" t="str">
            <v>Ya</v>
          </cell>
        </row>
        <row r="8">
          <cell r="B8" t="str">
            <v>00904</v>
          </cell>
          <cell r="C8" t="str">
            <v>Hutama Sugandhi</v>
          </cell>
          <cell r="D8" t="str">
            <v>Manyar Kertoarjo 3/12</v>
          </cell>
          <cell r="E8" t="str">
            <v>Surabaya</v>
          </cell>
          <cell r="F8" t="str">
            <v>0315936111</v>
          </cell>
          <cell r="G8" t="str">
            <v>3578262504530004</v>
          </cell>
          <cell r="H8" t="str">
            <v>0811372423</v>
          </cell>
          <cell r="I8">
            <v>45323</v>
          </cell>
          <cell r="J8" t="e">
            <v>#VALUE!</v>
          </cell>
          <cell r="K8"/>
          <cell r="L8" t="str">
            <v>Kristen Protestan</v>
          </cell>
          <cell r="M8" t="str">
            <v>Manajemen</v>
          </cell>
          <cell r="N8" t="str">
            <v>Manajemen</v>
          </cell>
          <cell r="O8" t="str">
            <v>Manajemen</v>
          </cell>
          <cell r="P8" t="str">
            <v>Vice President</v>
          </cell>
          <cell r="Q8" t="str">
            <v>I</v>
          </cell>
          <cell r="R8" t="str">
            <v>Shift</v>
          </cell>
          <cell r="S8" t="str">
            <v>Aktif</v>
          </cell>
          <cell r="T8" t="str">
            <v>NS2</v>
          </cell>
          <cell r="U8"/>
          <cell r="V8" t="str">
            <v>IG_ GA</v>
          </cell>
          <cell r="W8">
            <v>73</v>
          </cell>
          <cell r="X8">
            <v>2</v>
          </cell>
          <cell r="Y8" t="str">
            <v>K/1</v>
          </cell>
          <cell r="Z8">
            <v>2</v>
          </cell>
          <cell r="AA8" t="str">
            <v>Ya</v>
          </cell>
          <cell r="AB8" t="str">
            <v>Ya</v>
          </cell>
          <cell r="AC8" t="str">
            <v>Ya</v>
          </cell>
        </row>
        <row r="9">
          <cell r="B9" t="str">
            <v>00906</v>
          </cell>
          <cell r="C9" t="str">
            <v>Moenardji Soedargo</v>
          </cell>
          <cell r="D9" t="str">
            <v>Jl. Puri Mutiara VI / 18-A, Rt.06 Rw.04 Cilandak Timur - Pasar Minggu</v>
          </cell>
          <cell r="E9" t="str">
            <v>Jakarta Selatan</v>
          </cell>
          <cell r="F9"/>
          <cell r="G9" t="str">
            <v>3174040707640006</v>
          </cell>
          <cell r="H9"/>
          <cell r="I9">
            <v>45323</v>
          </cell>
          <cell r="J9">
            <v>23565</v>
          </cell>
          <cell r="K9"/>
          <cell r="L9" t="str">
            <v>Kristen Katolik</v>
          </cell>
          <cell r="M9" t="str">
            <v>Manajemen</v>
          </cell>
          <cell r="N9" t="str">
            <v>Manajemen</v>
          </cell>
          <cell r="O9" t="str">
            <v>Manajemen</v>
          </cell>
          <cell r="P9" t="str">
            <v>Executive Vice President</v>
          </cell>
          <cell r="Q9" t="str">
            <v>I</v>
          </cell>
          <cell r="R9" t="str">
            <v>Shift</v>
          </cell>
          <cell r="S9" t="str">
            <v>Aktif</v>
          </cell>
          <cell r="T9" t="str">
            <v>NS2</v>
          </cell>
          <cell r="U9"/>
          <cell r="V9" t="str">
            <v>Marketing</v>
          </cell>
          <cell r="W9">
            <v>62</v>
          </cell>
          <cell r="X9">
            <v>2</v>
          </cell>
          <cell r="Y9" t="str">
            <v>K/1</v>
          </cell>
          <cell r="Z9">
            <v>2</v>
          </cell>
          <cell r="AA9" t="str">
            <v>Tidak</v>
          </cell>
          <cell r="AB9" t="str">
            <v>Tidak</v>
          </cell>
          <cell r="AC9" t="str">
            <v>Tidak</v>
          </cell>
        </row>
        <row r="10">
          <cell r="B10" t="str">
            <v>10094</v>
          </cell>
          <cell r="C10" t="str">
            <v>Mochamad Mushonif</v>
          </cell>
          <cell r="D10" t="str">
            <v>Gamping Wetan RT.7 RW.2  Gamping - Krian</v>
          </cell>
          <cell r="E10" t="str">
            <v>Sidoarjo</v>
          </cell>
          <cell r="F10"/>
          <cell r="G10" t="str">
            <v>3515122908740001</v>
          </cell>
          <cell r="H10" t="str">
            <v>082331837314</v>
          </cell>
          <cell r="I10">
            <v>44933</v>
          </cell>
          <cell r="J10" t="e">
            <v>#VALUE!</v>
          </cell>
          <cell r="K10"/>
          <cell r="L10" t="str">
            <v>Islam</v>
          </cell>
          <cell r="M10" t="str">
            <v>Sidoarjo</v>
          </cell>
          <cell r="N10" t="str">
            <v>Teknik</v>
          </cell>
          <cell r="O10" t="str">
            <v>Boiler</v>
          </cell>
          <cell r="P10" t="str">
            <v>Operator</v>
          </cell>
          <cell r="Q10" t="str">
            <v>B1</v>
          </cell>
          <cell r="R10" t="str">
            <v>Grup Shift</v>
          </cell>
          <cell r="S10" t="str">
            <v>Aktif</v>
          </cell>
          <cell r="T10"/>
          <cell r="U10" t="str">
            <v>JP240526</v>
          </cell>
          <cell r="V10" t="str">
            <v>Instant</v>
          </cell>
          <cell r="W10">
            <v>51</v>
          </cell>
          <cell r="X10">
            <v>30</v>
          </cell>
          <cell r="Y10" t="str">
            <v>K/1</v>
          </cell>
          <cell r="Z10">
            <v>3</v>
          </cell>
          <cell r="AA10" t="str">
            <v>Ya</v>
          </cell>
          <cell r="AB10" t="str">
            <v>Ya</v>
          </cell>
          <cell r="AC10" t="str">
            <v>Ya</v>
          </cell>
        </row>
        <row r="11">
          <cell r="B11" t="str">
            <v>10148</v>
          </cell>
          <cell r="C11" t="str">
            <v>Hadi Ismanto</v>
          </cell>
          <cell r="D11" t="str">
            <v>Dsn Tanjung RT.04 RW.05 Trosobo Taman</v>
          </cell>
          <cell r="E11" t="str">
            <v>Sidoarjo</v>
          </cell>
          <cell r="F11"/>
          <cell r="G11" t="str">
            <v>3515132802780002</v>
          </cell>
          <cell r="H11" t="str">
            <v>082331537990</v>
          </cell>
          <cell r="I11">
            <v>44933</v>
          </cell>
          <cell r="J11" t="e">
            <v>#VALUE!</v>
          </cell>
          <cell r="K11"/>
          <cell r="L11" t="str">
            <v>Islam</v>
          </cell>
          <cell r="M11" t="str">
            <v>Sidoarjo</v>
          </cell>
          <cell r="N11" t="str">
            <v>Teknik</v>
          </cell>
          <cell r="O11" t="str">
            <v>Boiler</v>
          </cell>
          <cell r="P11" t="str">
            <v>Operator</v>
          </cell>
          <cell r="Q11" t="str">
            <v>B1</v>
          </cell>
          <cell r="R11" t="str">
            <v>Grup Shift</v>
          </cell>
          <cell r="S11" t="str">
            <v>Aktif</v>
          </cell>
          <cell r="T11"/>
          <cell r="U11" t="str">
            <v>AP240526</v>
          </cell>
          <cell r="V11" t="str">
            <v>Instant</v>
          </cell>
          <cell r="W11">
            <v>48</v>
          </cell>
          <cell r="X11">
            <v>29</v>
          </cell>
          <cell r="Y11" t="str">
            <v>K/2</v>
          </cell>
          <cell r="Z11">
            <v>3</v>
          </cell>
          <cell r="AA11" t="str">
            <v>Ya</v>
          </cell>
          <cell r="AB11" t="str">
            <v>Ya</v>
          </cell>
          <cell r="AC11" t="str">
            <v>Ya</v>
          </cell>
        </row>
        <row r="12">
          <cell r="B12" t="str">
            <v>10197</v>
          </cell>
          <cell r="C12" t="str">
            <v>Candra Hermawan</v>
          </cell>
          <cell r="D12" t="str">
            <v>Sidorogo RT. 02. RW. 5  Kel.Trosobo - Kec.Taman</v>
          </cell>
          <cell r="E12" t="str">
            <v>Sidoarjo</v>
          </cell>
          <cell r="F12"/>
          <cell r="G12" t="str">
            <v>3515130808770004</v>
          </cell>
          <cell r="H12" t="str">
            <v>085230423404</v>
          </cell>
          <cell r="I12">
            <v>44933</v>
          </cell>
          <cell r="J12">
            <v>28345</v>
          </cell>
          <cell r="K12"/>
          <cell r="L12" t="str">
            <v>Islam</v>
          </cell>
          <cell r="M12" t="str">
            <v>Sidoarjo</v>
          </cell>
          <cell r="N12" t="str">
            <v>Teknik</v>
          </cell>
          <cell r="O12" t="str">
            <v>Boiler</v>
          </cell>
          <cell r="P12" t="str">
            <v>Operator</v>
          </cell>
          <cell r="Q12" t="str">
            <v>B1</v>
          </cell>
          <cell r="R12" t="str">
            <v>Grup Shift</v>
          </cell>
          <cell r="S12" t="str">
            <v>Aktif</v>
          </cell>
          <cell r="T12"/>
          <cell r="U12" t="str">
            <v>AP240526</v>
          </cell>
          <cell r="V12" t="str">
            <v>Instant</v>
          </cell>
          <cell r="W12">
            <v>48</v>
          </cell>
          <cell r="X12">
            <v>29</v>
          </cell>
          <cell r="Y12" t="str">
            <v>K/2</v>
          </cell>
          <cell r="Z12">
            <v>3</v>
          </cell>
          <cell r="AA12" t="str">
            <v>Ya</v>
          </cell>
          <cell r="AB12" t="str">
            <v>Ya</v>
          </cell>
          <cell r="AC12" t="str">
            <v>Ya</v>
          </cell>
        </row>
        <row r="13">
          <cell r="B13" t="str">
            <v>10224</v>
          </cell>
          <cell r="C13" t="str">
            <v>Moch. Machroji</v>
          </cell>
          <cell r="D13" t="str">
            <v>Dsn Sidorono RT.11 RW.04 Barengkrajan - Krian</v>
          </cell>
          <cell r="E13" t="str">
            <v>Sidoarjo</v>
          </cell>
          <cell r="F13"/>
          <cell r="G13" t="str">
            <v>3578042505760004</v>
          </cell>
          <cell r="H13" t="str">
            <v>0895631378717</v>
          </cell>
          <cell r="I13">
            <v>44933</v>
          </cell>
          <cell r="J13" t="e">
            <v>#VALUE!</v>
          </cell>
          <cell r="K13"/>
          <cell r="L13" t="str">
            <v>Islam</v>
          </cell>
          <cell r="M13" t="str">
            <v>Sidoarjo</v>
          </cell>
          <cell r="N13" t="str">
            <v>Teknik</v>
          </cell>
          <cell r="O13" t="str">
            <v>Boiler</v>
          </cell>
          <cell r="P13" t="str">
            <v>Operator</v>
          </cell>
          <cell r="Q13" t="str">
            <v>B1</v>
          </cell>
          <cell r="R13" t="str">
            <v>Grup Shift</v>
          </cell>
          <cell r="S13" t="str">
            <v>Aktif</v>
          </cell>
          <cell r="T13"/>
          <cell r="U13" t="str">
            <v>BP240526</v>
          </cell>
          <cell r="V13" t="str">
            <v>Instant</v>
          </cell>
          <cell r="W13">
            <v>50</v>
          </cell>
          <cell r="X13">
            <v>29</v>
          </cell>
          <cell r="Y13" t="str">
            <v>K/2</v>
          </cell>
          <cell r="Z13">
            <v>3</v>
          </cell>
          <cell r="AA13" t="str">
            <v>Ya</v>
          </cell>
          <cell r="AB13" t="str">
            <v>Ya</v>
          </cell>
          <cell r="AC13" t="str">
            <v>Ya</v>
          </cell>
        </row>
        <row r="14">
          <cell r="B14" t="str">
            <v>10657</v>
          </cell>
          <cell r="C14" t="str">
            <v>Luzman Hakim</v>
          </cell>
          <cell r="D14" t="str">
            <v>Perumtas III Blok K4 / 27 Ds. Kepuh Kemiri Rt. 41 Rw. 10 Kec. Tulangan</v>
          </cell>
          <cell r="E14" t="str">
            <v>Sidoarjo</v>
          </cell>
          <cell r="F14"/>
          <cell r="G14" t="str">
            <v>3510073011840004</v>
          </cell>
          <cell r="H14" t="str">
            <v>081235771451</v>
          </cell>
          <cell r="I14">
            <v>44933</v>
          </cell>
          <cell r="J14" t="e">
            <v>#VALUE!</v>
          </cell>
          <cell r="K14"/>
          <cell r="L14" t="str">
            <v>Islam</v>
          </cell>
          <cell r="M14" t="str">
            <v>Sidoarjo</v>
          </cell>
          <cell r="N14" t="str">
            <v>Teknik</v>
          </cell>
          <cell r="O14" t="str">
            <v>Boiler</v>
          </cell>
          <cell r="P14" t="str">
            <v>Operator</v>
          </cell>
          <cell r="Q14" t="str">
            <v>B1</v>
          </cell>
          <cell r="R14" t="str">
            <v>Grup Shift</v>
          </cell>
          <cell r="S14" t="str">
            <v>Aktif</v>
          </cell>
          <cell r="T14"/>
          <cell r="U14" t="str">
            <v>SP240526</v>
          </cell>
          <cell r="V14" t="str">
            <v>Instant</v>
          </cell>
          <cell r="W14">
            <v>41</v>
          </cell>
          <cell r="X14">
            <v>16</v>
          </cell>
          <cell r="Y14" t="str">
            <v>K/2</v>
          </cell>
          <cell r="Z14">
            <v>3</v>
          </cell>
          <cell r="AA14" t="str">
            <v>Ya</v>
          </cell>
          <cell r="AB14" t="str">
            <v>Ya</v>
          </cell>
          <cell r="AC14" t="str">
            <v>Ya</v>
          </cell>
        </row>
        <row r="15">
          <cell r="B15" t="str">
            <v>10222</v>
          </cell>
          <cell r="C15" t="str">
            <v>Edy Sasongko Widyo</v>
          </cell>
          <cell r="D15" t="str">
            <v>Perumahan Indraprasta B7-12A  , Ds.mlaten RT.003 /RW.006 . Kec. Puri</v>
          </cell>
          <cell r="E15" t="str">
            <v>Mojokerto</v>
          </cell>
          <cell r="F15"/>
          <cell r="G15" t="str">
            <v>3525061909700002</v>
          </cell>
          <cell r="H15" t="str">
            <v>081230102363</v>
          </cell>
          <cell r="I15">
            <v>44933</v>
          </cell>
          <cell r="J15" t="e">
            <v>#VALUE!</v>
          </cell>
          <cell r="K15"/>
          <cell r="L15" t="str">
            <v>Islam</v>
          </cell>
          <cell r="M15" t="str">
            <v>Sidoarjo</v>
          </cell>
          <cell r="N15" t="str">
            <v>Teknik</v>
          </cell>
          <cell r="O15" t="str">
            <v>Chiller AHU</v>
          </cell>
          <cell r="P15" t="str">
            <v>Operator</v>
          </cell>
          <cell r="Q15" t="str">
            <v>A4</v>
          </cell>
          <cell r="R15" t="str">
            <v>Grup Shift</v>
          </cell>
          <cell r="S15" t="str">
            <v>Aktif</v>
          </cell>
          <cell r="T15"/>
          <cell r="U15" t="str">
            <v>SP240526</v>
          </cell>
          <cell r="V15" t="str">
            <v>Instant</v>
          </cell>
          <cell r="W15">
            <v>55</v>
          </cell>
          <cell r="X15">
            <v>29</v>
          </cell>
          <cell r="Y15" t="str">
            <v>K/3</v>
          </cell>
          <cell r="Z15">
            <v>3</v>
          </cell>
          <cell r="AA15" t="str">
            <v>Ya</v>
          </cell>
          <cell r="AB15" t="str">
            <v>Ya</v>
          </cell>
          <cell r="AC15" t="str">
            <v>Ya</v>
          </cell>
        </row>
        <row r="16">
          <cell r="B16" t="str">
            <v>10231</v>
          </cell>
          <cell r="C16" t="str">
            <v>Totok Purwanto</v>
          </cell>
          <cell r="D16" t="str">
            <v>Kalijaten No. 29B  RT.7 RW.2 kalijaten Taman</v>
          </cell>
          <cell r="E16" t="str">
            <v>Sidoarjo</v>
          </cell>
          <cell r="F16"/>
          <cell r="G16" t="str">
            <v>3515021301760002</v>
          </cell>
          <cell r="H16" t="str">
            <v>085732351454</v>
          </cell>
          <cell r="I16">
            <v>44933</v>
          </cell>
          <cell r="J16" t="e">
            <v>#VALUE!</v>
          </cell>
          <cell r="K16"/>
          <cell r="L16" t="str">
            <v>Islam</v>
          </cell>
          <cell r="M16" t="str">
            <v>Sidoarjo</v>
          </cell>
          <cell r="N16" t="str">
            <v>Teknik</v>
          </cell>
          <cell r="O16" t="str">
            <v>Chiller CT, Pump</v>
          </cell>
          <cell r="P16" t="str">
            <v>Operator</v>
          </cell>
          <cell r="Q16" t="str">
            <v>A4</v>
          </cell>
          <cell r="R16" t="str">
            <v>Grup Shift</v>
          </cell>
          <cell r="S16" t="str">
            <v>Aktif</v>
          </cell>
          <cell r="T16"/>
          <cell r="U16" t="str">
            <v>SP240526</v>
          </cell>
          <cell r="V16" t="str">
            <v>Instant</v>
          </cell>
          <cell r="W16">
            <v>50</v>
          </cell>
          <cell r="X16">
            <v>29</v>
          </cell>
          <cell r="Y16" t="str">
            <v>K/1</v>
          </cell>
          <cell r="Z16">
            <v>3</v>
          </cell>
          <cell r="AA16" t="str">
            <v>Ya</v>
          </cell>
          <cell r="AB16" t="str">
            <v>Ya</v>
          </cell>
          <cell r="AC16" t="str">
            <v>Ya</v>
          </cell>
        </row>
        <row r="17">
          <cell r="B17" t="str">
            <v>10926</v>
          </cell>
          <cell r="C17" t="str">
            <v>Ryan Anggara Putra</v>
          </cell>
          <cell r="D17" t="str">
            <v>Banjar Pertapan Rt.02 Rw.01 Pertapanmaduretno, Kec. Taman</v>
          </cell>
          <cell r="E17" t="str">
            <v>Sidoarjo (61257)</v>
          </cell>
          <cell r="F17"/>
          <cell r="G17" t="str">
            <v>3515131007960004</v>
          </cell>
          <cell r="H17" t="str">
            <v>085710073322</v>
          </cell>
          <cell r="I17">
            <v>45664</v>
          </cell>
          <cell r="J17">
            <v>35345</v>
          </cell>
          <cell r="K17"/>
          <cell r="L17" t="str">
            <v>Islam</v>
          </cell>
          <cell r="M17" t="str">
            <v>Sidoarjo</v>
          </cell>
          <cell r="N17" t="str">
            <v>Teknik</v>
          </cell>
          <cell r="O17" t="str">
            <v>Chiller CT, Pump</v>
          </cell>
          <cell r="P17" t="str">
            <v>Operator</v>
          </cell>
          <cell r="Q17" t="str">
            <v>A4</v>
          </cell>
          <cell r="R17" t="str">
            <v>Grup Shift</v>
          </cell>
          <cell r="S17" t="str">
            <v>Aktif</v>
          </cell>
          <cell r="T17"/>
          <cell r="U17" t="str">
            <v>BP240526</v>
          </cell>
          <cell r="V17" t="str">
            <v>Instant</v>
          </cell>
          <cell r="W17">
            <v>30</v>
          </cell>
          <cell r="X17">
            <v>1</v>
          </cell>
          <cell r="Y17" t="str">
            <v>K/1</v>
          </cell>
          <cell r="Z17">
            <v>1</v>
          </cell>
          <cell r="AA17" t="str">
            <v>Ya</v>
          </cell>
          <cell r="AB17" t="str">
            <v>Ya</v>
          </cell>
          <cell r="AC17" t="str">
            <v>Ya</v>
          </cell>
        </row>
        <row r="18">
          <cell r="B18" t="str">
            <v>10199</v>
          </cell>
          <cell r="C18" t="str">
            <v>Bay Sukron</v>
          </cell>
          <cell r="D18" t="str">
            <v>Plaosan  RT. 06. RW.01 Plaosan - Wonoayu</v>
          </cell>
          <cell r="E18" t="str">
            <v>Sidoarjo</v>
          </cell>
          <cell r="F18"/>
          <cell r="G18" t="str">
            <v>3515102611770001</v>
          </cell>
          <cell r="H18" t="str">
            <v>085330572267</v>
          </cell>
          <cell r="I18">
            <v>44933</v>
          </cell>
          <cell r="J18" t="e">
            <v>#VALUE!</v>
          </cell>
          <cell r="K18"/>
          <cell r="L18" t="str">
            <v>Islam</v>
          </cell>
          <cell r="M18" t="str">
            <v>Sidoarjo</v>
          </cell>
          <cell r="N18" t="str">
            <v>Teknik</v>
          </cell>
          <cell r="O18" t="str">
            <v>Incenerator</v>
          </cell>
          <cell r="P18" t="str">
            <v>Operator</v>
          </cell>
          <cell r="Q18" t="str">
            <v>B1</v>
          </cell>
          <cell r="R18" t="str">
            <v>Grup Shift</v>
          </cell>
          <cell r="S18" t="str">
            <v>Aktif</v>
          </cell>
          <cell r="T18"/>
          <cell r="U18" t="str">
            <v>JP240526</v>
          </cell>
          <cell r="V18" t="str">
            <v>Instant</v>
          </cell>
          <cell r="W18">
            <v>48</v>
          </cell>
          <cell r="X18">
            <v>29</v>
          </cell>
          <cell r="Y18" t="str">
            <v>T/1</v>
          </cell>
          <cell r="Z18">
            <v>3</v>
          </cell>
          <cell r="AA18" t="str">
            <v>Ya</v>
          </cell>
          <cell r="AB18" t="str">
            <v>Ya</v>
          </cell>
          <cell r="AC18" t="str">
            <v>Ya</v>
          </cell>
        </row>
        <row r="19">
          <cell r="B19" t="str">
            <v>10225</v>
          </cell>
          <cell r="C19" t="str">
            <v>Ridwan</v>
          </cell>
          <cell r="D19" t="str">
            <v>Dsn.Kedung Anyar Rt.13 RW.05 Kedung Anyar - .Wringin Anom</v>
          </cell>
          <cell r="E19" t="str">
            <v>Gresik</v>
          </cell>
          <cell r="F19"/>
          <cell r="G19" t="str">
            <v>3525060303740002</v>
          </cell>
          <cell r="H19" t="str">
            <v>085645002025</v>
          </cell>
          <cell r="I19">
            <v>44933</v>
          </cell>
          <cell r="J19">
            <v>27091</v>
          </cell>
          <cell r="K19"/>
          <cell r="L19" t="str">
            <v>Islam</v>
          </cell>
          <cell r="M19" t="str">
            <v>Sidoarjo</v>
          </cell>
          <cell r="N19" t="str">
            <v>Teknik</v>
          </cell>
          <cell r="O19" t="str">
            <v>Incenerator</v>
          </cell>
          <cell r="P19" t="str">
            <v>Operator</v>
          </cell>
          <cell r="Q19" t="str">
            <v>B1</v>
          </cell>
          <cell r="R19" t="str">
            <v>Grup Shift</v>
          </cell>
          <cell r="S19" t="str">
            <v>Aktif</v>
          </cell>
          <cell r="T19"/>
          <cell r="U19" t="str">
            <v>SP240526</v>
          </cell>
          <cell r="V19" t="str">
            <v>Instant</v>
          </cell>
          <cell r="W19">
            <v>52</v>
          </cell>
          <cell r="X19">
            <v>29</v>
          </cell>
          <cell r="Y19" t="str">
            <v>K/1</v>
          </cell>
          <cell r="Z19">
            <v>3</v>
          </cell>
          <cell r="AA19" t="str">
            <v>Ya</v>
          </cell>
          <cell r="AB19" t="str">
            <v>Ya</v>
          </cell>
          <cell r="AC19" t="str">
            <v>Ya</v>
          </cell>
        </row>
        <row r="20">
          <cell r="B20" t="str">
            <v>10328</v>
          </cell>
          <cell r="C20" t="str">
            <v>Asmanto</v>
          </cell>
          <cell r="D20" t="str">
            <v>Ds Ketegan RT.12 RW.03 Ketegan - Taman</v>
          </cell>
          <cell r="E20" t="str">
            <v>Sidoarjo</v>
          </cell>
          <cell r="F20"/>
          <cell r="G20" t="str">
            <v>3515021812760001</v>
          </cell>
          <cell r="H20" t="str">
            <v>085336788188</v>
          </cell>
          <cell r="I20">
            <v>44933</v>
          </cell>
          <cell r="J20" t="e">
            <v>#VALUE!</v>
          </cell>
          <cell r="K20"/>
          <cell r="L20" t="str">
            <v>Islam</v>
          </cell>
          <cell r="M20" t="str">
            <v>Sidoarjo</v>
          </cell>
          <cell r="N20" t="str">
            <v>Teknik</v>
          </cell>
          <cell r="O20" t="str">
            <v>Incenerator</v>
          </cell>
          <cell r="P20" t="str">
            <v>Operator</v>
          </cell>
          <cell r="Q20" t="str">
            <v>B1</v>
          </cell>
          <cell r="R20" t="str">
            <v>Grup Shift</v>
          </cell>
          <cell r="S20" t="str">
            <v>Aktif</v>
          </cell>
          <cell r="T20"/>
          <cell r="U20" t="str">
            <v>AP240526</v>
          </cell>
          <cell r="V20" t="str">
            <v>Instant</v>
          </cell>
          <cell r="W20">
            <v>49</v>
          </cell>
          <cell r="X20">
            <v>29</v>
          </cell>
          <cell r="Y20" t="str">
            <v>K/1</v>
          </cell>
          <cell r="Z20">
            <v>3</v>
          </cell>
          <cell r="AA20" t="str">
            <v>Ya</v>
          </cell>
          <cell r="AB20" t="str">
            <v>Ya</v>
          </cell>
          <cell r="AC20" t="str">
            <v>Ya</v>
          </cell>
        </row>
        <row r="21">
          <cell r="B21" t="str">
            <v>10568</v>
          </cell>
          <cell r="C21" t="str">
            <v>Boby Kristian</v>
          </cell>
          <cell r="D21" t="str">
            <v>Semambung RT.004 RW.002 Semambung Wonoayu</v>
          </cell>
          <cell r="E21" t="str">
            <v>Sidoarjo</v>
          </cell>
          <cell r="F21"/>
          <cell r="G21" t="str">
            <v>3516082803840003</v>
          </cell>
          <cell r="H21" t="str">
            <v>08123004759</v>
          </cell>
          <cell r="I21">
            <v>44933</v>
          </cell>
          <cell r="J21" t="e">
            <v>#VALUE!</v>
          </cell>
          <cell r="K21"/>
          <cell r="L21" t="str">
            <v>Islam</v>
          </cell>
          <cell r="M21" t="str">
            <v>Sidoarjo</v>
          </cell>
          <cell r="N21" t="str">
            <v>Teknik</v>
          </cell>
          <cell r="O21" t="str">
            <v>Incenerator</v>
          </cell>
          <cell r="P21" t="str">
            <v>Operator</v>
          </cell>
          <cell r="Q21" t="str">
            <v>B1</v>
          </cell>
          <cell r="R21" t="str">
            <v>Grup Shift</v>
          </cell>
          <cell r="S21" t="str">
            <v>Aktif</v>
          </cell>
          <cell r="T21"/>
          <cell r="U21" t="str">
            <v>BP240526</v>
          </cell>
          <cell r="V21" t="str">
            <v>Instant</v>
          </cell>
          <cell r="W21">
            <v>42</v>
          </cell>
          <cell r="X21">
            <v>22</v>
          </cell>
          <cell r="Y21" t="str">
            <v>K/2</v>
          </cell>
          <cell r="Z21">
            <v>3</v>
          </cell>
          <cell r="AA21" t="str">
            <v>Ya</v>
          </cell>
          <cell r="AB21" t="str">
            <v>Ya</v>
          </cell>
          <cell r="AC21" t="str">
            <v>Ya</v>
          </cell>
        </row>
        <row r="22">
          <cell r="B22" t="str">
            <v>10647</v>
          </cell>
          <cell r="C22" t="str">
            <v>Ahsanul Walid</v>
          </cell>
          <cell r="D22" t="str">
            <v>Sidomukti RT.10 RW.02 Kraton  Krian</v>
          </cell>
          <cell r="E22" t="str">
            <v>Sidoarjo</v>
          </cell>
          <cell r="F22"/>
          <cell r="G22" t="str">
            <v>3515113105840001</v>
          </cell>
          <cell r="H22" t="str">
            <v>085732992807</v>
          </cell>
          <cell r="I22">
            <v>44933</v>
          </cell>
          <cell r="J22" t="e">
            <v>#VALUE!</v>
          </cell>
          <cell r="K22"/>
          <cell r="L22" t="str">
            <v>Islam</v>
          </cell>
          <cell r="M22" t="str">
            <v>Sidoarjo</v>
          </cell>
          <cell r="N22" t="str">
            <v>Teknik</v>
          </cell>
          <cell r="O22" t="str">
            <v>Incenerator</v>
          </cell>
          <cell r="P22" t="str">
            <v>Operator</v>
          </cell>
          <cell r="Q22" t="str">
            <v>B1</v>
          </cell>
          <cell r="R22" t="str">
            <v>Grup Shift</v>
          </cell>
          <cell r="S22" t="str">
            <v>Aktif</v>
          </cell>
          <cell r="T22"/>
          <cell r="U22" t="str">
            <v>JP240526</v>
          </cell>
          <cell r="V22" t="str">
            <v>Instant</v>
          </cell>
          <cell r="W22">
            <v>42</v>
          </cell>
          <cell r="X22">
            <v>17</v>
          </cell>
          <cell r="Y22" t="str">
            <v>K/2</v>
          </cell>
          <cell r="Z22">
            <v>3</v>
          </cell>
          <cell r="AA22" t="str">
            <v>Ya</v>
          </cell>
          <cell r="AB22" t="str">
            <v>Ya</v>
          </cell>
          <cell r="AC22" t="str">
            <v>Ya</v>
          </cell>
        </row>
        <row r="23">
          <cell r="B23" t="str">
            <v>10776</v>
          </cell>
          <cell r="C23" t="str">
            <v>Rifal Fiangga</v>
          </cell>
          <cell r="D23" t="str">
            <v>Perum mutiara Citra Hapsari blok G11 simogirang prambon</v>
          </cell>
          <cell r="E23" t="str">
            <v>Gresik</v>
          </cell>
          <cell r="F23"/>
          <cell r="G23" t="str">
            <v>3515113107910001</v>
          </cell>
          <cell r="H23" t="str">
            <v>082143467720</v>
          </cell>
          <cell r="I23">
            <v>44933</v>
          </cell>
          <cell r="J23" t="e">
            <v>#VALUE!</v>
          </cell>
          <cell r="K23"/>
          <cell r="L23" t="str">
            <v>Islam</v>
          </cell>
          <cell r="M23" t="str">
            <v>Sidoarjo</v>
          </cell>
          <cell r="N23" t="str">
            <v>Teknik</v>
          </cell>
          <cell r="O23" t="str">
            <v>Incenerator</v>
          </cell>
          <cell r="P23" t="str">
            <v>Operator</v>
          </cell>
          <cell r="Q23" t="str">
            <v>B1</v>
          </cell>
          <cell r="R23" t="str">
            <v>Grup Shift</v>
          </cell>
          <cell r="S23" t="str">
            <v>Aktif</v>
          </cell>
          <cell r="T23"/>
          <cell r="U23" t="str">
            <v>BP240526</v>
          </cell>
          <cell r="V23" t="str">
            <v>Instant</v>
          </cell>
          <cell r="W23">
            <v>34</v>
          </cell>
          <cell r="X23">
            <v>7</v>
          </cell>
          <cell r="Y23" t="str">
            <v>K/2</v>
          </cell>
          <cell r="Z23">
            <v>3</v>
          </cell>
          <cell r="AA23" t="str">
            <v>Ya</v>
          </cell>
          <cell r="AB23" t="str">
            <v>Ya</v>
          </cell>
          <cell r="AC23" t="str">
            <v>Ya</v>
          </cell>
        </row>
        <row r="24">
          <cell r="B24" t="str">
            <v>10777</v>
          </cell>
          <cell r="C24" t="str">
            <v>Hadi Sugiarto</v>
          </cell>
          <cell r="D24" t="str">
            <v>Dsn. Semampir RT.26 RW.06 Ds. Sidorejo - Krian</v>
          </cell>
          <cell r="E24" t="str">
            <v>Sidoarjo</v>
          </cell>
          <cell r="F24"/>
          <cell r="G24" t="str">
            <v>3515110312910001</v>
          </cell>
          <cell r="H24" t="str">
            <v>081703530715</v>
          </cell>
          <cell r="I24">
            <v>44933</v>
          </cell>
          <cell r="J24">
            <v>33309</v>
          </cell>
          <cell r="K24"/>
          <cell r="L24" t="str">
            <v>Islam</v>
          </cell>
          <cell r="M24" t="str">
            <v>Sidoarjo</v>
          </cell>
          <cell r="N24" t="str">
            <v>Teknik</v>
          </cell>
          <cell r="O24" t="str">
            <v>Incenerator</v>
          </cell>
          <cell r="P24" t="str">
            <v>Operator</v>
          </cell>
          <cell r="Q24" t="str">
            <v>B1</v>
          </cell>
          <cell r="R24" t="str">
            <v>Grup Shift</v>
          </cell>
          <cell r="S24" t="str">
            <v>Aktif</v>
          </cell>
          <cell r="T24"/>
          <cell r="U24" t="str">
            <v>AP240526</v>
          </cell>
          <cell r="V24" t="str">
            <v>Instant</v>
          </cell>
          <cell r="W24">
            <v>34</v>
          </cell>
          <cell r="X24">
            <v>7</v>
          </cell>
          <cell r="Y24" t="str">
            <v>K/2</v>
          </cell>
          <cell r="Z24">
            <v>3</v>
          </cell>
          <cell r="AA24" t="str">
            <v>Ya</v>
          </cell>
          <cell r="AB24" t="str">
            <v>Ya</v>
          </cell>
          <cell r="AC24" t="str">
            <v>Ya</v>
          </cell>
        </row>
        <row r="25">
          <cell r="B25" t="str">
            <v>10778</v>
          </cell>
          <cell r="C25" t="str">
            <v>Moch Riki Fachmi</v>
          </cell>
          <cell r="D25" t="str">
            <v>Jl. Wiroto VII / 69 RT. 07 RW. 07 Ds. Polehan - Blimbing</v>
          </cell>
          <cell r="E25" t="str">
            <v>Malang</v>
          </cell>
          <cell r="F25"/>
          <cell r="G25" t="str">
            <v>3573010808930005</v>
          </cell>
          <cell r="H25" t="str">
            <v>089501001993</v>
          </cell>
          <cell r="I25">
            <v>44933</v>
          </cell>
          <cell r="J25">
            <v>34189</v>
          </cell>
          <cell r="K25"/>
          <cell r="L25" t="str">
            <v>Islam</v>
          </cell>
          <cell r="M25" t="str">
            <v>Sidoarjo</v>
          </cell>
          <cell r="N25" t="str">
            <v>Teknik</v>
          </cell>
          <cell r="O25" t="str">
            <v>Incenerator</v>
          </cell>
          <cell r="P25" t="str">
            <v>Operator</v>
          </cell>
          <cell r="Q25" t="str">
            <v>B1</v>
          </cell>
          <cell r="R25" t="str">
            <v>Grup Shift</v>
          </cell>
          <cell r="S25" t="str">
            <v>Aktif</v>
          </cell>
          <cell r="T25"/>
          <cell r="U25" t="str">
            <v>SP240526</v>
          </cell>
          <cell r="V25" t="str">
            <v>Instant</v>
          </cell>
          <cell r="W25">
            <v>32</v>
          </cell>
          <cell r="X25">
            <v>7</v>
          </cell>
          <cell r="Y25" t="str">
            <v>T/0</v>
          </cell>
          <cell r="Z25">
            <v>3</v>
          </cell>
          <cell r="AA25" t="str">
            <v>Ya</v>
          </cell>
          <cell r="AB25" t="str">
            <v>Ya</v>
          </cell>
          <cell r="AC25" t="str">
            <v>Ya</v>
          </cell>
        </row>
        <row r="26">
          <cell r="B26" t="str">
            <v>10092</v>
          </cell>
          <cell r="C26" t="str">
            <v>Nurul Fajri</v>
          </cell>
          <cell r="D26" t="str">
            <v>Trosobo Tanjung RT.004 RW.005 Trosobo, Taman</v>
          </cell>
          <cell r="E26" t="str">
            <v>Sidoarjo</v>
          </cell>
          <cell r="F26"/>
          <cell r="G26" t="str">
            <v>3515130703730011</v>
          </cell>
          <cell r="H26" t="str">
            <v>085645648036, 082246699454</v>
          </cell>
          <cell r="I26">
            <v>44933</v>
          </cell>
          <cell r="J26">
            <v>26848</v>
          </cell>
          <cell r="K26"/>
          <cell r="L26" t="str">
            <v>Islam</v>
          </cell>
          <cell r="M26" t="str">
            <v>Sidoarjo</v>
          </cell>
          <cell r="N26" t="str">
            <v>Teknik</v>
          </cell>
          <cell r="O26" t="str">
            <v>Maintenance</v>
          </cell>
          <cell r="P26" t="str">
            <v>Kepala Regu</v>
          </cell>
          <cell r="Q26" t="str">
            <v>B3</v>
          </cell>
          <cell r="R26" t="str">
            <v>Grup Shift</v>
          </cell>
          <cell r="S26" t="str">
            <v>Aktif</v>
          </cell>
          <cell r="T26"/>
          <cell r="U26" t="str">
            <v>NFB240526</v>
          </cell>
          <cell r="V26" t="str">
            <v>IG_PROD</v>
          </cell>
          <cell r="W26">
            <v>53</v>
          </cell>
          <cell r="X26">
            <v>30</v>
          </cell>
          <cell r="Y26" t="str">
            <v>K/1</v>
          </cell>
          <cell r="Z26">
            <v>3</v>
          </cell>
          <cell r="AA26" t="str">
            <v>Ya</v>
          </cell>
          <cell r="AB26" t="str">
            <v>Ya</v>
          </cell>
          <cell r="AC26" t="str">
            <v>Ya</v>
          </cell>
        </row>
        <row r="27">
          <cell r="B27" t="str">
            <v>10523</v>
          </cell>
          <cell r="C27" t="str">
            <v>Supriyanto</v>
          </cell>
          <cell r="D27" t="str">
            <v>Simogirang RT.1 RW.3 Kel. Simogirang - Kec. Prambon</v>
          </cell>
          <cell r="E27" t="str">
            <v>Sidoarjo</v>
          </cell>
          <cell r="F27"/>
          <cell r="G27" t="str">
            <v>3515022405690004</v>
          </cell>
          <cell r="H27" t="str">
            <v>08998347991</v>
          </cell>
          <cell r="I27">
            <v>44933</v>
          </cell>
          <cell r="J27" t="e">
            <v>#VALUE!</v>
          </cell>
          <cell r="K27"/>
          <cell r="L27" t="str">
            <v>Islam</v>
          </cell>
          <cell r="M27" t="str">
            <v>Sidoarjo</v>
          </cell>
          <cell r="N27" t="str">
            <v>Teknik</v>
          </cell>
          <cell r="O27" t="str">
            <v>Maintenance</v>
          </cell>
          <cell r="P27" t="str">
            <v>Kepala Regu</v>
          </cell>
          <cell r="Q27" t="str">
            <v>B2</v>
          </cell>
          <cell r="R27" t="str">
            <v>Grup Shift</v>
          </cell>
          <cell r="S27" t="str">
            <v>Aktif</v>
          </cell>
          <cell r="T27"/>
          <cell r="U27" t="str">
            <v>SPB240526</v>
          </cell>
          <cell r="V27" t="str">
            <v>IG_PROD</v>
          </cell>
          <cell r="W27">
            <v>57</v>
          </cell>
          <cell r="X27">
            <v>28</v>
          </cell>
          <cell r="Y27" t="str">
            <v>K/1</v>
          </cell>
          <cell r="Z27">
            <v>3</v>
          </cell>
          <cell r="AA27" t="str">
            <v>Ya</v>
          </cell>
          <cell r="AB27" t="str">
            <v>Ya</v>
          </cell>
          <cell r="AC27" t="str">
            <v>Ya</v>
          </cell>
        </row>
        <row r="28">
          <cell r="B28" t="str">
            <v>10100</v>
          </cell>
          <cell r="C28" t="str">
            <v>Ainur Rofiq</v>
          </cell>
          <cell r="D28" t="str">
            <v>Dsn. Boharan RT.4 RW.1 Kel. Keboharan - Kec. Krian</v>
          </cell>
          <cell r="E28" t="str">
            <v>Sidoarjo</v>
          </cell>
          <cell r="F28"/>
          <cell r="G28" t="str">
            <v>3515110703740001</v>
          </cell>
          <cell r="H28" t="str">
            <v>085645142609 / 085334953370</v>
          </cell>
          <cell r="I28">
            <v>44933</v>
          </cell>
          <cell r="J28">
            <v>27213</v>
          </cell>
          <cell r="K28"/>
          <cell r="L28" t="str">
            <v>Islam</v>
          </cell>
          <cell r="M28" t="str">
            <v>Sidoarjo</v>
          </cell>
          <cell r="N28" t="str">
            <v>Teknik</v>
          </cell>
          <cell r="O28" t="str">
            <v>Maintenance</v>
          </cell>
          <cell r="P28" t="str">
            <v>Teknisi</v>
          </cell>
          <cell r="Q28" t="str">
            <v>B2</v>
          </cell>
          <cell r="R28" t="str">
            <v>Grup Shift</v>
          </cell>
          <cell r="S28" t="str">
            <v>Aktif</v>
          </cell>
          <cell r="T28"/>
          <cell r="U28" t="str">
            <v>SP240526</v>
          </cell>
          <cell r="V28" t="str">
            <v>IG_PROD</v>
          </cell>
          <cell r="W28">
            <v>52</v>
          </cell>
          <cell r="X28">
            <v>30</v>
          </cell>
          <cell r="Y28" t="str">
            <v>K/1</v>
          </cell>
          <cell r="Z28">
            <v>3</v>
          </cell>
          <cell r="AA28" t="str">
            <v>Ya</v>
          </cell>
          <cell r="AB28" t="str">
            <v>Ya</v>
          </cell>
          <cell r="AC28" t="str">
            <v>Ya</v>
          </cell>
        </row>
        <row r="29">
          <cell r="B29" t="str">
            <v>10102</v>
          </cell>
          <cell r="C29" t="str">
            <v>Boniran</v>
          </cell>
          <cell r="D29" t="str">
            <v>Perumtas 5 Blok F3 No. 42 Bendotretek - Prambon</v>
          </cell>
          <cell r="E29" t="str">
            <v>Sidoarjo</v>
          </cell>
          <cell r="F29"/>
          <cell r="G29" t="str">
            <v>3520010803760001</v>
          </cell>
          <cell r="H29" t="str">
            <v>081216222496</v>
          </cell>
          <cell r="I29">
            <v>44933</v>
          </cell>
          <cell r="J29">
            <v>27975</v>
          </cell>
          <cell r="K29"/>
          <cell r="L29" t="str">
            <v>Islam</v>
          </cell>
          <cell r="M29" t="str">
            <v>Sidoarjo</v>
          </cell>
          <cell r="N29" t="str">
            <v>Teknik</v>
          </cell>
          <cell r="O29" t="str">
            <v>Maintenance</v>
          </cell>
          <cell r="P29" t="str">
            <v>Teknisi</v>
          </cell>
          <cell r="Q29" t="str">
            <v>B2</v>
          </cell>
          <cell r="R29" t="str">
            <v>Shift</v>
          </cell>
          <cell r="S29" t="str">
            <v>Aktif</v>
          </cell>
          <cell r="T29" t="str">
            <v>NS1</v>
          </cell>
          <cell r="U29"/>
          <cell r="V29" t="str">
            <v>IG_PROD</v>
          </cell>
          <cell r="W29">
            <v>50</v>
          </cell>
          <cell r="X29">
            <v>30</v>
          </cell>
          <cell r="Y29" t="str">
            <v>K/3</v>
          </cell>
          <cell r="Z29">
            <v>3</v>
          </cell>
          <cell r="AA29" t="str">
            <v>Ya</v>
          </cell>
          <cell r="AB29" t="str">
            <v>Ya</v>
          </cell>
          <cell r="AC29" t="str">
            <v>Ya</v>
          </cell>
        </row>
        <row r="30">
          <cell r="B30" t="str">
            <v>10177</v>
          </cell>
          <cell r="C30" t="str">
            <v>Hariyanto</v>
          </cell>
          <cell r="D30" t="str">
            <v>Dsn. Wonokerto Barat RT.1 RW.1 Kel. Kedungwonokerto - Kec. Prambon</v>
          </cell>
          <cell r="E30" t="str">
            <v>Sidoarjo</v>
          </cell>
          <cell r="F30"/>
          <cell r="G30" t="str">
            <v>3515021405760004</v>
          </cell>
          <cell r="H30" t="str">
            <v>0895367088192</v>
          </cell>
          <cell r="I30">
            <v>44933</v>
          </cell>
          <cell r="J30" t="e">
            <v>#VALUE!</v>
          </cell>
          <cell r="K30"/>
          <cell r="L30" t="str">
            <v>Islam</v>
          </cell>
          <cell r="M30" t="str">
            <v>Sidoarjo</v>
          </cell>
          <cell r="N30" t="str">
            <v>Teknik</v>
          </cell>
          <cell r="O30" t="str">
            <v>Maintenance</v>
          </cell>
          <cell r="P30" t="str">
            <v>Teknisi</v>
          </cell>
          <cell r="Q30" t="str">
            <v>B2</v>
          </cell>
          <cell r="R30" t="str">
            <v>Grup Shift</v>
          </cell>
          <cell r="S30" t="str">
            <v>Aktif</v>
          </cell>
          <cell r="T30"/>
          <cell r="U30" t="str">
            <v>AP240526</v>
          </cell>
          <cell r="V30" t="str">
            <v>IG_PROD</v>
          </cell>
          <cell r="W30">
            <v>50</v>
          </cell>
          <cell r="X30">
            <v>29</v>
          </cell>
          <cell r="Y30" t="str">
            <v>K/1</v>
          </cell>
          <cell r="Z30">
            <v>3</v>
          </cell>
          <cell r="AA30" t="str">
            <v>Ya</v>
          </cell>
          <cell r="AB30" t="str">
            <v>Ya</v>
          </cell>
          <cell r="AC30" t="str">
            <v>Ya</v>
          </cell>
        </row>
        <row r="31">
          <cell r="B31" t="str">
            <v>10179</v>
          </cell>
          <cell r="C31" t="str">
            <v>Imam Kurdi</v>
          </cell>
          <cell r="D31" t="str">
            <v>Jl. Abd.Rachman No.26 RT.15 RW.6 Kel. Pabean  Kec. Sedati</v>
          </cell>
          <cell r="E31" t="str">
            <v>Sidoarjo</v>
          </cell>
          <cell r="F31"/>
          <cell r="G31" t="str">
            <v>3515170609690003</v>
          </cell>
          <cell r="H31" t="str">
            <v>085732271791</v>
          </cell>
          <cell r="I31">
            <v>44933</v>
          </cell>
          <cell r="J31">
            <v>25363</v>
          </cell>
          <cell r="K31"/>
          <cell r="L31" t="str">
            <v>Islam</v>
          </cell>
          <cell r="M31" t="str">
            <v>Sidoarjo</v>
          </cell>
          <cell r="N31" t="str">
            <v>Teknik</v>
          </cell>
          <cell r="O31" t="str">
            <v>Maintenance</v>
          </cell>
          <cell r="P31" t="str">
            <v>Teknisi</v>
          </cell>
          <cell r="Q31" t="str">
            <v>B2</v>
          </cell>
          <cell r="R31" t="str">
            <v>Grup Shift</v>
          </cell>
          <cell r="S31" t="str">
            <v>Aktif</v>
          </cell>
          <cell r="T31"/>
          <cell r="U31" t="str">
            <v>BP240526</v>
          </cell>
          <cell r="V31" t="str">
            <v>IG_PROD</v>
          </cell>
          <cell r="W31">
            <v>56</v>
          </cell>
          <cell r="X31">
            <v>29</v>
          </cell>
          <cell r="Y31" t="str">
            <v>K/0</v>
          </cell>
          <cell r="Z31">
            <v>3</v>
          </cell>
          <cell r="AA31" t="str">
            <v>Ya</v>
          </cell>
          <cell r="AB31" t="str">
            <v>Ya</v>
          </cell>
          <cell r="AC31" t="str">
            <v>Ya</v>
          </cell>
        </row>
        <row r="32">
          <cell r="B32" t="str">
            <v>10223</v>
          </cell>
          <cell r="C32" t="str">
            <v>Samiadji</v>
          </cell>
          <cell r="D32" t="str">
            <v>Perum Taman Anggun Sejahtera 5 Blok I8 No 19 Desa Bendotretek Rt 8 Rw 2 Kecamatan Prambon</v>
          </cell>
          <cell r="E32" t="str">
            <v>Sidoarjo</v>
          </cell>
          <cell r="F32"/>
          <cell r="G32" t="str">
            <v>3515131812760007</v>
          </cell>
          <cell r="H32" t="str">
            <v>085755879227, 081957495822</v>
          </cell>
          <cell r="I32">
            <v>44933</v>
          </cell>
          <cell r="J32" t="e">
            <v>#VALUE!</v>
          </cell>
          <cell r="K32"/>
          <cell r="L32" t="str">
            <v>Islam</v>
          </cell>
          <cell r="M32" t="str">
            <v>Sidoarjo</v>
          </cell>
          <cell r="N32" t="str">
            <v>Teknik</v>
          </cell>
          <cell r="O32" t="str">
            <v>Maintenance</v>
          </cell>
          <cell r="P32" t="str">
            <v>Teknisi</v>
          </cell>
          <cell r="Q32" t="str">
            <v>B2</v>
          </cell>
          <cell r="R32" t="str">
            <v>Grup Shift</v>
          </cell>
          <cell r="S32" t="str">
            <v>Aktif</v>
          </cell>
          <cell r="T32"/>
          <cell r="U32" t="str">
            <v>AP240526</v>
          </cell>
          <cell r="V32" t="str">
            <v>IG_PROD</v>
          </cell>
          <cell r="W32">
            <v>49</v>
          </cell>
          <cell r="X32">
            <v>29</v>
          </cell>
          <cell r="Y32" t="str">
            <v>K/2</v>
          </cell>
          <cell r="Z32">
            <v>3</v>
          </cell>
          <cell r="AA32" t="str">
            <v>Ya</v>
          </cell>
          <cell r="AB32" t="str">
            <v>Ya</v>
          </cell>
          <cell r="AC32" t="str">
            <v>Ya</v>
          </cell>
        </row>
        <row r="33">
          <cell r="B33" t="str">
            <v>10323</v>
          </cell>
          <cell r="C33" t="str">
            <v>Abu Tholib</v>
          </cell>
          <cell r="D33" t="str">
            <v>Grabagan RT 5 RW 1 Kel.Grabagan-Kec.Tulangan</v>
          </cell>
          <cell r="E33" t="str">
            <v>Sidoarjo</v>
          </cell>
          <cell r="F33"/>
          <cell r="G33" t="str">
            <v>3515091907760001</v>
          </cell>
          <cell r="H33" t="str">
            <v>081330187971, 085606418252 WA</v>
          </cell>
          <cell r="I33">
            <v>44933</v>
          </cell>
          <cell r="J33" t="e">
            <v>#VALUE!</v>
          </cell>
          <cell r="K33"/>
          <cell r="L33" t="str">
            <v>Islam</v>
          </cell>
          <cell r="M33" t="str">
            <v>Sidoarjo</v>
          </cell>
          <cell r="N33" t="str">
            <v>Teknik</v>
          </cell>
          <cell r="O33" t="str">
            <v>Maintenance</v>
          </cell>
          <cell r="P33" t="str">
            <v>Teknisi</v>
          </cell>
          <cell r="Q33" t="str">
            <v>B2</v>
          </cell>
          <cell r="R33" t="str">
            <v>Grup Shift</v>
          </cell>
          <cell r="S33" t="str">
            <v>Aktif</v>
          </cell>
          <cell r="T33"/>
          <cell r="U33" t="str">
            <v>SP240526</v>
          </cell>
          <cell r="V33" t="str">
            <v>IG_PROD</v>
          </cell>
          <cell r="W33">
            <v>50</v>
          </cell>
          <cell r="X33">
            <v>29</v>
          </cell>
          <cell r="Y33" t="str">
            <v>T/1</v>
          </cell>
          <cell r="Z33">
            <v>3</v>
          </cell>
          <cell r="AA33" t="str">
            <v>Ya</v>
          </cell>
          <cell r="AB33" t="str">
            <v>Ya</v>
          </cell>
          <cell r="AC33" t="str">
            <v>Ya</v>
          </cell>
        </row>
        <row r="34">
          <cell r="B34" t="str">
            <v>10455</v>
          </cell>
          <cell r="C34" t="str">
            <v>Suryanto</v>
          </cell>
          <cell r="D34" t="str">
            <v>Grabagan RT.6 RW.1 Kel. Grabagan - Kec. Tulangan</v>
          </cell>
          <cell r="E34" t="str">
            <v>Sidoarjo</v>
          </cell>
          <cell r="F34"/>
          <cell r="G34" t="str">
            <v>3515092807750004</v>
          </cell>
          <cell r="H34" t="str">
            <v>08563405926</v>
          </cell>
          <cell r="I34">
            <v>44933</v>
          </cell>
          <cell r="J34" t="e">
            <v>#VALUE!</v>
          </cell>
          <cell r="K34"/>
          <cell r="L34" t="str">
            <v>Islam</v>
          </cell>
          <cell r="M34" t="str">
            <v>Sidoarjo</v>
          </cell>
          <cell r="N34" t="str">
            <v>Teknik</v>
          </cell>
          <cell r="O34" t="str">
            <v>Maintenance</v>
          </cell>
          <cell r="P34" t="str">
            <v>Teknisi</v>
          </cell>
          <cell r="Q34" t="str">
            <v>B2</v>
          </cell>
          <cell r="R34" t="str">
            <v>Shift</v>
          </cell>
          <cell r="S34" t="str">
            <v>Aktif</v>
          </cell>
          <cell r="T34" t="str">
            <v>NS1</v>
          </cell>
          <cell r="U34"/>
          <cell r="V34" t="str">
            <v>IG_PROD</v>
          </cell>
          <cell r="W34">
            <v>50</v>
          </cell>
          <cell r="X34">
            <v>28</v>
          </cell>
          <cell r="Y34" t="str">
            <v>K/1</v>
          </cell>
          <cell r="Z34">
            <v>3</v>
          </cell>
          <cell r="AA34" t="str">
            <v>Ya</v>
          </cell>
          <cell r="AB34" t="str">
            <v>Ya</v>
          </cell>
          <cell r="AC34" t="str">
            <v>Ya</v>
          </cell>
        </row>
        <row r="35">
          <cell r="B35" t="str">
            <v>10457</v>
          </cell>
          <cell r="C35" t="str">
            <v>Nur Choliq</v>
          </cell>
          <cell r="D35" t="str">
            <v>Perum Graha Permata Blok S No.05 RT.51 RW.10 Sidorejo - Krian</v>
          </cell>
          <cell r="E35" t="str">
            <v>Sidoarjo</v>
          </cell>
          <cell r="F35"/>
          <cell r="G35" t="str">
            <v>3505111510750004</v>
          </cell>
          <cell r="H35" t="str">
            <v>085745947229</v>
          </cell>
          <cell r="I35">
            <v>44933</v>
          </cell>
          <cell r="J35" t="e">
            <v>#VALUE!</v>
          </cell>
          <cell r="K35"/>
          <cell r="L35" t="str">
            <v>Islam</v>
          </cell>
          <cell r="M35" t="str">
            <v>Sidoarjo</v>
          </cell>
          <cell r="N35" t="str">
            <v>Teknik</v>
          </cell>
          <cell r="O35" t="str">
            <v>Maintenance</v>
          </cell>
          <cell r="P35" t="str">
            <v>Teknisi</v>
          </cell>
          <cell r="Q35" t="str">
            <v>B2</v>
          </cell>
          <cell r="R35" t="str">
            <v>Grup Shift</v>
          </cell>
          <cell r="S35" t="str">
            <v>Aktif</v>
          </cell>
          <cell r="T35"/>
          <cell r="U35" t="str">
            <v>JP240526</v>
          </cell>
          <cell r="V35" t="str">
            <v>IG_PROD</v>
          </cell>
          <cell r="W35">
            <v>50</v>
          </cell>
          <cell r="X35">
            <v>28</v>
          </cell>
          <cell r="Y35" t="str">
            <v>K/1</v>
          </cell>
          <cell r="Z35">
            <v>3</v>
          </cell>
          <cell r="AA35" t="str">
            <v>Ya</v>
          </cell>
          <cell r="AB35" t="str">
            <v>Ya</v>
          </cell>
          <cell r="AC35" t="str">
            <v>Ya</v>
          </cell>
        </row>
        <row r="36">
          <cell r="B36" t="str">
            <v>10646</v>
          </cell>
          <cell r="C36" t="str">
            <v>Agung Setyawan</v>
          </cell>
          <cell r="D36" t="str">
            <v>Perum GSA Blok G7/No.14, Kramat Jegu, Taman</v>
          </cell>
          <cell r="E36" t="str">
            <v>Sidoarjo</v>
          </cell>
          <cell r="F36"/>
          <cell r="G36" t="str">
            <v>3515130407800001</v>
          </cell>
          <cell r="H36" t="str">
            <v>085733650170, 0890106631</v>
          </cell>
          <cell r="I36">
            <v>44933</v>
          </cell>
          <cell r="J36">
            <v>29318</v>
          </cell>
          <cell r="K36"/>
          <cell r="L36" t="str">
            <v>Islam</v>
          </cell>
          <cell r="M36" t="str">
            <v>Sidoarjo</v>
          </cell>
          <cell r="N36" t="str">
            <v>Teknik</v>
          </cell>
          <cell r="O36" t="str">
            <v>Maintenance</v>
          </cell>
          <cell r="P36" t="str">
            <v>Teknisi</v>
          </cell>
          <cell r="Q36" t="str">
            <v>B2</v>
          </cell>
          <cell r="R36" t="str">
            <v>Shift</v>
          </cell>
          <cell r="S36" t="str">
            <v>Aktif</v>
          </cell>
          <cell r="T36" t="str">
            <v>NS1</v>
          </cell>
          <cell r="U36"/>
          <cell r="V36" t="str">
            <v>IG_PROD</v>
          </cell>
          <cell r="W36">
            <v>46</v>
          </cell>
          <cell r="X36">
            <v>17</v>
          </cell>
          <cell r="Y36" t="str">
            <v>K/2</v>
          </cell>
          <cell r="Z36">
            <v>3</v>
          </cell>
          <cell r="AA36" t="str">
            <v>Ya</v>
          </cell>
          <cell r="AB36" t="str">
            <v>Ya</v>
          </cell>
          <cell r="AC36" t="str">
            <v>Ya</v>
          </cell>
        </row>
        <row r="37">
          <cell r="B37" t="str">
            <v>10924</v>
          </cell>
          <cell r="C37" t="str">
            <v>Moch. Zakaria Nur Syaifuddin</v>
          </cell>
          <cell r="D37" t="str">
            <v>Semawut Rt.12 Rw.04 Balongbendo, Kec. balongbendo</v>
          </cell>
          <cell r="E37" t="str">
            <v>Sidoarjo (61263)</v>
          </cell>
          <cell r="F37"/>
          <cell r="G37" t="str">
            <v>3515111909990004</v>
          </cell>
          <cell r="H37" t="str">
            <v>085815531347</v>
          </cell>
          <cell r="I37">
            <v>45664</v>
          </cell>
          <cell r="J37" t="e">
            <v>#VALUE!</v>
          </cell>
          <cell r="K37"/>
          <cell r="L37" t="str">
            <v>Islam</v>
          </cell>
          <cell r="M37" t="str">
            <v>Sidoarjo</v>
          </cell>
          <cell r="N37" t="str">
            <v>Teknik</v>
          </cell>
          <cell r="O37" t="str">
            <v>Maintenance</v>
          </cell>
          <cell r="P37" t="str">
            <v>Teknisi</v>
          </cell>
          <cell r="Q37" t="str">
            <v>B2</v>
          </cell>
          <cell r="R37" t="str">
            <v>Grup Shift</v>
          </cell>
          <cell r="S37" t="str">
            <v>Aktif</v>
          </cell>
          <cell r="T37"/>
          <cell r="U37" t="str">
            <v>BP240526</v>
          </cell>
          <cell r="V37" t="str">
            <v>IG_PROD</v>
          </cell>
          <cell r="W37">
            <v>26</v>
          </cell>
          <cell r="X37">
            <v>1</v>
          </cell>
          <cell r="Y37" t="str">
            <v>K/0</v>
          </cell>
          <cell r="Z37">
            <v>1</v>
          </cell>
          <cell r="AA37" t="str">
            <v>Ya</v>
          </cell>
          <cell r="AB37" t="str">
            <v>Ya</v>
          </cell>
          <cell r="AC37" t="str">
            <v>Ya</v>
          </cell>
        </row>
        <row r="38">
          <cell r="B38" t="str">
            <v>10925</v>
          </cell>
          <cell r="C38" t="str">
            <v>Zul Fikri Suryo Wahyudi</v>
          </cell>
          <cell r="D38" t="str">
            <v>Sedenganminjen Rt.12 Rw.04 Sedenganmijen, Kec. Krian</v>
          </cell>
          <cell r="E38" t="str">
            <v>Sidoarjo (61262)</v>
          </cell>
          <cell r="F38"/>
          <cell r="G38" t="str">
            <v>3515100210950004</v>
          </cell>
          <cell r="H38" t="str">
            <v>085732823677</v>
          </cell>
          <cell r="I38">
            <v>45664</v>
          </cell>
          <cell r="J38">
            <v>34740</v>
          </cell>
          <cell r="K38"/>
          <cell r="L38" t="str">
            <v>Islam</v>
          </cell>
          <cell r="M38" t="str">
            <v>Sidoarjo</v>
          </cell>
          <cell r="N38" t="str">
            <v>Teknik</v>
          </cell>
          <cell r="O38" t="str">
            <v>Maintenance</v>
          </cell>
          <cell r="P38" t="str">
            <v>Teknisi</v>
          </cell>
          <cell r="Q38" t="str">
            <v>B2</v>
          </cell>
          <cell r="R38" t="str">
            <v>Grup Shift</v>
          </cell>
          <cell r="S38" t="str">
            <v>Aktif</v>
          </cell>
          <cell r="T38"/>
          <cell r="U38" t="str">
            <v>JP240526</v>
          </cell>
          <cell r="V38" t="str">
            <v>IG_PROD</v>
          </cell>
          <cell r="W38">
            <v>30</v>
          </cell>
          <cell r="X38">
            <v>1</v>
          </cell>
          <cell r="Y38" t="str">
            <v>K/1</v>
          </cell>
          <cell r="Z38">
            <v>1</v>
          </cell>
          <cell r="AA38" t="str">
            <v>Ya</v>
          </cell>
          <cell r="AB38" t="str">
            <v>Ya</v>
          </cell>
          <cell r="AC38" t="str">
            <v>Ya</v>
          </cell>
        </row>
        <row r="39">
          <cell r="B39" t="str">
            <v>10927</v>
          </cell>
          <cell r="C39" t="str">
            <v>Rony Verdy Irawan</v>
          </cell>
          <cell r="D39" t="str">
            <v>Sidorogo Rt.01 Rw.05 Trosobo, Kec. Taman</v>
          </cell>
          <cell r="E39" t="str">
            <v>Sidoarjo (61257)</v>
          </cell>
          <cell r="F39"/>
          <cell r="G39" t="str">
            <v>3515132602990007</v>
          </cell>
          <cell r="H39" t="str">
            <v>082125254256</v>
          </cell>
          <cell r="I39">
            <v>45664</v>
          </cell>
          <cell r="J39" t="e">
            <v>#VALUE!</v>
          </cell>
          <cell r="K39"/>
          <cell r="L39" t="str">
            <v>Islam</v>
          </cell>
          <cell r="M39" t="str">
            <v>Sidoarjo</v>
          </cell>
          <cell r="N39" t="str">
            <v>Teknik</v>
          </cell>
          <cell r="O39" t="str">
            <v>Maintenance</v>
          </cell>
          <cell r="P39" t="str">
            <v>Teknisi</v>
          </cell>
          <cell r="Q39" t="str">
            <v>B2</v>
          </cell>
          <cell r="R39" t="str">
            <v>Grup Shift</v>
          </cell>
          <cell r="S39" t="str">
            <v>Aktif</v>
          </cell>
          <cell r="T39"/>
          <cell r="U39" t="str">
            <v>BP240526</v>
          </cell>
          <cell r="V39" t="str">
            <v>IG_PROD</v>
          </cell>
          <cell r="W39">
            <v>27</v>
          </cell>
          <cell r="X39">
            <v>1</v>
          </cell>
          <cell r="Y39" t="str">
            <v>K/0</v>
          </cell>
          <cell r="Z39">
            <v>1</v>
          </cell>
          <cell r="AA39" t="str">
            <v>Ya</v>
          </cell>
          <cell r="AB39" t="str">
            <v>Ya</v>
          </cell>
          <cell r="AC39" t="str">
            <v>Ya</v>
          </cell>
        </row>
        <row r="40">
          <cell r="B40" t="str">
            <v>10495</v>
          </cell>
          <cell r="C40" t="str">
            <v>Kunarto</v>
          </cell>
          <cell r="D40" t="str">
            <v>Kemuning RT.08 RW.02 Kemuning - Tarik</v>
          </cell>
          <cell r="E40" t="str">
            <v>Sidoarjo</v>
          </cell>
          <cell r="F40"/>
          <cell r="G40" t="str">
            <v>3515012604730001</v>
          </cell>
          <cell r="H40" t="str">
            <v>085746557550</v>
          </cell>
          <cell r="I40">
            <v>44933</v>
          </cell>
          <cell r="J40" t="e">
            <v>#VALUE!</v>
          </cell>
          <cell r="K40"/>
          <cell r="L40" t="str">
            <v>Islam</v>
          </cell>
          <cell r="M40" t="str">
            <v>Sidoarjo</v>
          </cell>
          <cell r="N40" t="str">
            <v>Teknik</v>
          </cell>
          <cell r="O40" t="str">
            <v>Power Station</v>
          </cell>
          <cell r="P40" t="str">
            <v>Kepala Regu</v>
          </cell>
          <cell r="Q40" t="str">
            <v>B1</v>
          </cell>
          <cell r="R40" t="str">
            <v>Grup Shift</v>
          </cell>
          <cell r="S40" t="str">
            <v>Aktif</v>
          </cell>
          <cell r="T40"/>
          <cell r="U40" t="str">
            <v>SP240526</v>
          </cell>
          <cell r="V40" t="str">
            <v>IG_PROD</v>
          </cell>
          <cell r="W40">
            <v>53</v>
          </cell>
          <cell r="X40">
            <v>28</v>
          </cell>
          <cell r="Y40" t="str">
            <v>K/2</v>
          </cell>
          <cell r="Z40">
            <v>3</v>
          </cell>
          <cell r="AA40" t="str">
            <v>Ya</v>
          </cell>
          <cell r="AB40" t="str">
            <v>Ya</v>
          </cell>
          <cell r="AC40" t="str">
            <v>Ya</v>
          </cell>
        </row>
        <row r="41">
          <cell r="B41" t="str">
            <v>10215</v>
          </cell>
          <cell r="C41" t="str">
            <v>Hariyadi</v>
          </cell>
          <cell r="D41" t="str">
            <v>Letjen Sutoyo No. 289 RT. 13. RW. 4 Kel. Medaeng-Kec.Waru</v>
          </cell>
          <cell r="E41" t="str">
            <v>Sidoarjo</v>
          </cell>
          <cell r="F41"/>
          <cell r="G41" t="str">
            <v>3515182210740005</v>
          </cell>
          <cell r="H41" t="str">
            <v>087796690708</v>
          </cell>
          <cell r="I41">
            <v>44933</v>
          </cell>
          <cell r="J41" t="e">
            <v>#VALUE!</v>
          </cell>
          <cell r="K41"/>
          <cell r="L41" t="str">
            <v>Islam</v>
          </cell>
          <cell r="M41" t="str">
            <v>Sidoarjo</v>
          </cell>
          <cell r="N41" t="str">
            <v>Teknik</v>
          </cell>
          <cell r="O41" t="str">
            <v>Power Station</v>
          </cell>
          <cell r="P41" t="str">
            <v>Operator</v>
          </cell>
          <cell r="Q41" t="str">
            <v>A4</v>
          </cell>
          <cell r="R41" t="str">
            <v>Grup Shift</v>
          </cell>
          <cell r="S41" t="str">
            <v>Aktif</v>
          </cell>
          <cell r="T41"/>
          <cell r="U41" t="str">
            <v>AP240526</v>
          </cell>
          <cell r="V41" t="str">
            <v>Instant</v>
          </cell>
          <cell r="W41">
            <v>51</v>
          </cell>
          <cell r="X41">
            <v>29</v>
          </cell>
          <cell r="Y41" t="str">
            <v>K/2</v>
          </cell>
          <cell r="Z41">
            <v>3</v>
          </cell>
          <cell r="AA41" t="str">
            <v>Ya</v>
          </cell>
          <cell r="AB41" t="str">
            <v>Ya</v>
          </cell>
          <cell r="AC41" t="str">
            <v>Ya</v>
          </cell>
        </row>
        <row r="42">
          <cell r="B42" t="str">
            <v>10239</v>
          </cell>
          <cell r="C42" t="str">
            <v>Sutikno</v>
          </cell>
          <cell r="D42" t="str">
            <v>Dsn Patar Lor RT.3 RW.1 Kel. Ngaresrejo - Kec. Sukodono</v>
          </cell>
          <cell r="E42" t="str">
            <v>Sidoarjo</v>
          </cell>
          <cell r="F42"/>
          <cell r="G42" t="str">
            <v>3515142105760003</v>
          </cell>
          <cell r="H42" t="str">
            <v>085336788336</v>
          </cell>
          <cell r="I42">
            <v>44933</v>
          </cell>
          <cell r="J42" t="e">
            <v>#VALUE!</v>
          </cell>
          <cell r="K42"/>
          <cell r="L42" t="str">
            <v>Islam</v>
          </cell>
          <cell r="M42" t="str">
            <v>Sidoarjo</v>
          </cell>
          <cell r="N42" t="str">
            <v>Teknik</v>
          </cell>
          <cell r="O42" t="str">
            <v>Power Station</v>
          </cell>
          <cell r="P42" t="str">
            <v>Operator</v>
          </cell>
          <cell r="Q42" t="str">
            <v>A4</v>
          </cell>
          <cell r="R42" t="str">
            <v>Grup Shift</v>
          </cell>
          <cell r="S42" t="str">
            <v>Aktif</v>
          </cell>
          <cell r="T42"/>
          <cell r="U42" t="str">
            <v>JP240526</v>
          </cell>
          <cell r="V42" t="str">
            <v>IG_PROD</v>
          </cell>
          <cell r="W42">
            <v>50</v>
          </cell>
          <cell r="X42">
            <v>29</v>
          </cell>
          <cell r="Y42" t="str">
            <v>K/1</v>
          </cell>
          <cell r="Z42">
            <v>3</v>
          </cell>
          <cell r="AA42" t="str">
            <v>Ya</v>
          </cell>
          <cell r="AB42" t="str">
            <v>Ya</v>
          </cell>
          <cell r="AC42" t="str">
            <v>Ya</v>
          </cell>
        </row>
        <row r="43">
          <cell r="B43" t="str">
            <v>10256</v>
          </cell>
          <cell r="C43" t="str">
            <v>Subiantoro</v>
          </cell>
          <cell r="D43" t="str">
            <v>Dsn. Sidorono RT.11 RW.4 Kel. Barengkrajan - Kec. Krian</v>
          </cell>
          <cell r="E43" t="str">
            <v>Sidoarjo</v>
          </cell>
          <cell r="F43"/>
          <cell r="G43" t="str">
            <v>3515111209720004</v>
          </cell>
          <cell r="H43" t="str">
            <v>089520822683</v>
          </cell>
          <cell r="I43">
            <v>44933</v>
          </cell>
          <cell r="J43">
            <v>26642</v>
          </cell>
          <cell r="K43"/>
          <cell r="L43" t="str">
            <v>Islam</v>
          </cell>
          <cell r="M43" t="str">
            <v>Sidoarjo</v>
          </cell>
          <cell r="N43" t="str">
            <v>Teknik</v>
          </cell>
          <cell r="O43" t="str">
            <v>Power Station</v>
          </cell>
          <cell r="P43" t="str">
            <v>Operator</v>
          </cell>
          <cell r="Q43" t="str">
            <v>A4</v>
          </cell>
          <cell r="R43" t="str">
            <v>Grup Shift</v>
          </cell>
          <cell r="S43" t="str">
            <v>Aktif</v>
          </cell>
          <cell r="T43"/>
          <cell r="U43" t="str">
            <v>BP240526</v>
          </cell>
          <cell r="V43" t="str">
            <v>IG_PROD</v>
          </cell>
          <cell r="W43">
            <v>53</v>
          </cell>
          <cell r="X43">
            <v>29</v>
          </cell>
          <cell r="Y43" t="str">
            <v>K/1</v>
          </cell>
          <cell r="Z43">
            <v>3</v>
          </cell>
          <cell r="AA43" t="str">
            <v>Ya</v>
          </cell>
          <cell r="AB43" t="str">
            <v>Ya</v>
          </cell>
          <cell r="AC43" t="str">
            <v>Ya</v>
          </cell>
        </row>
        <row r="44">
          <cell r="B44" t="str">
            <v>10394</v>
          </cell>
          <cell r="C44" t="str">
            <v>Andrianto</v>
          </cell>
          <cell r="D44" t="str">
            <v>Jl.denpasar C3-10 griya japan raya tahap 4 sooko</v>
          </cell>
          <cell r="E44" t="str">
            <v>Kab. Mojokerto</v>
          </cell>
          <cell r="F44" t="str">
            <v>(0321) 395262</v>
          </cell>
          <cell r="G44" t="str">
            <v>3576010603750005</v>
          </cell>
          <cell r="H44" t="str">
            <v>081332192246</v>
          </cell>
          <cell r="I44">
            <v>44933</v>
          </cell>
          <cell r="J44">
            <v>27548</v>
          </cell>
          <cell r="K44"/>
          <cell r="L44" t="str">
            <v>Islam</v>
          </cell>
          <cell r="M44" t="str">
            <v>Sidoarjo</v>
          </cell>
          <cell r="N44" t="str">
            <v>Teknik</v>
          </cell>
          <cell r="O44" t="str">
            <v>Teknik</v>
          </cell>
          <cell r="P44" t="str">
            <v>Assistant Manager</v>
          </cell>
          <cell r="Q44" t="str">
            <v>III</v>
          </cell>
          <cell r="R44" t="str">
            <v>Shift</v>
          </cell>
          <cell r="S44" t="str">
            <v>Aktif</v>
          </cell>
          <cell r="T44" t="str">
            <v>NS2</v>
          </cell>
          <cell r="U44"/>
          <cell r="V44" t="str">
            <v>Instant</v>
          </cell>
          <cell r="W44">
            <v>51</v>
          </cell>
          <cell r="X44">
            <v>29</v>
          </cell>
          <cell r="Y44" t="str">
            <v>K/2</v>
          </cell>
          <cell r="Z44">
            <v>3</v>
          </cell>
          <cell r="AA44" t="str">
            <v>Ya</v>
          </cell>
          <cell r="AB44" t="str">
            <v>Ya</v>
          </cell>
          <cell r="AC44" t="str">
            <v>Ya</v>
          </cell>
        </row>
        <row r="45">
          <cell r="B45" t="str">
            <v>10588</v>
          </cell>
          <cell r="C45" t="str">
            <v>Andy Tenggara, ST</v>
          </cell>
          <cell r="D45" t="str">
            <v>Wisma Permai I No.67 RT.2 RW.05 Kel Mulyorejo - Kec. Mulyorejo</v>
          </cell>
          <cell r="E45" t="str">
            <v>Surabaya</v>
          </cell>
          <cell r="F45" t="str">
            <v>031 5938719</v>
          </cell>
          <cell r="G45" t="str">
            <v>3578260408790002</v>
          </cell>
          <cell r="H45" t="str">
            <v>08165418879</v>
          </cell>
          <cell r="I45">
            <v>44933</v>
          </cell>
          <cell r="J45">
            <v>28953</v>
          </cell>
          <cell r="K45"/>
          <cell r="L45" t="str">
            <v>Kristen Katolik</v>
          </cell>
          <cell r="M45" t="str">
            <v>Sidoarjo</v>
          </cell>
          <cell r="N45" t="str">
            <v>Teknik</v>
          </cell>
          <cell r="O45" t="str">
            <v>Teknik</v>
          </cell>
          <cell r="P45" t="str">
            <v>Kabag.</v>
          </cell>
          <cell r="Q45" t="str">
            <v>III</v>
          </cell>
          <cell r="R45" t="str">
            <v>Grup Shift</v>
          </cell>
          <cell r="S45" t="str">
            <v>Aktif</v>
          </cell>
          <cell r="T45"/>
          <cell r="U45" t="str">
            <v>ANT240526</v>
          </cell>
          <cell r="V45" t="str">
            <v>Instant</v>
          </cell>
          <cell r="W45">
            <v>46</v>
          </cell>
          <cell r="X45">
            <v>21</v>
          </cell>
          <cell r="Y45" t="str">
            <v>T/0</v>
          </cell>
          <cell r="Z45">
            <v>3</v>
          </cell>
          <cell r="AA45" t="str">
            <v>Ya</v>
          </cell>
          <cell r="AB45" t="str">
            <v>Ya</v>
          </cell>
          <cell r="AC45" t="str">
            <v>Ya</v>
          </cell>
        </row>
        <row r="46">
          <cell r="B46" t="str">
            <v>10848</v>
          </cell>
          <cell r="C46" t="str">
            <v>Tarji</v>
          </cell>
          <cell r="D46" t="str">
            <v>Dsn. Grengseng RT.13 RW.2 Kel. Kalimati - Kec. Tarik</v>
          </cell>
          <cell r="E46" t="str">
            <v>Sidoarjo</v>
          </cell>
          <cell r="F46"/>
          <cell r="G46" t="str">
            <v>3515011010640005</v>
          </cell>
          <cell r="H46" t="str">
            <v>089616617237</v>
          </cell>
          <cell r="I46">
            <v>44510</v>
          </cell>
          <cell r="J46">
            <v>23660</v>
          </cell>
          <cell r="K46"/>
          <cell r="L46" t="str">
            <v>Islam</v>
          </cell>
          <cell r="M46" t="str">
            <v>Sidoarjo</v>
          </cell>
          <cell r="N46" t="str">
            <v>Teknik</v>
          </cell>
          <cell r="O46" t="str">
            <v>Teknik</v>
          </cell>
          <cell r="P46" t="str">
            <v>Kabag.</v>
          </cell>
          <cell r="Q46" t="str">
            <v>III</v>
          </cell>
          <cell r="R46" t="str">
            <v>Grup Shift</v>
          </cell>
          <cell r="S46" t="str">
            <v>Aktif</v>
          </cell>
          <cell r="T46"/>
          <cell r="U46" t="str">
            <v>TRJ240526</v>
          </cell>
          <cell r="V46" t="str">
            <v>IG_PROD</v>
          </cell>
          <cell r="W46">
            <v>61</v>
          </cell>
          <cell r="X46">
            <v>4</v>
          </cell>
          <cell r="Y46" t="str">
            <v>K/0</v>
          </cell>
          <cell r="Z46">
            <v>4</v>
          </cell>
          <cell r="AA46" t="str">
            <v>Ya</v>
          </cell>
          <cell r="AB46" t="str">
            <v>Tidak</v>
          </cell>
          <cell r="AC46" t="str">
            <v>Tidak</v>
          </cell>
        </row>
        <row r="47">
          <cell r="B47" t="str">
            <v>10275</v>
          </cell>
          <cell r="C47" t="str">
            <v>Ignatius Ferry Darjanto T</v>
          </cell>
          <cell r="D47" t="str">
            <v>Mulyosari Utara 11 / 22 RT,11 RW.01 Kel. Kalisari Kec. Mulyorejo</v>
          </cell>
          <cell r="E47" t="str">
            <v>Surabaya</v>
          </cell>
          <cell r="F47"/>
          <cell r="G47" t="str">
            <v>3578262509520001</v>
          </cell>
          <cell r="H47" t="str">
            <v>0811329187</v>
          </cell>
          <cell r="I47">
            <v>44933</v>
          </cell>
          <cell r="J47" t="e">
            <v>#VALUE!</v>
          </cell>
          <cell r="K47"/>
          <cell r="L47" t="str">
            <v>Kristen Katolik</v>
          </cell>
          <cell r="M47" t="str">
            <v>Sidoarjo</v>
          </cell>
          <cell r="N47" t="str">
            <v>Teknik</v>
          </cell>
          <cell r="O47" t="str">
            <v>Teknik</v>
          </cell>
          <cell r="P47" t="str">
            <v>Manager</v>
          </cell>
          <cell r="Q47" t="str">
            <v>II</v>
          </cell>
          <cell r="R47" t="str">
            <v>Shift</v>
          </cell>
          <cell r="S47" t="str">
            <v>Aktif</v>
          </cell>
          <cell r="T47" t="str">
            <v>SO</v>
          </cell>
          <cell r="U47"/>
          <cell r="V47" t="str">
            <v>Instant</v>
          </cell>
          <cell r="W47">
            <v>73</v>
          </cell>
          <cell r="X47">
            <v>29</v>
          </cell>
          <cell r="Y47" t="str">
            <v>K/0</v>
          </cell>
          <cell r="Z47">
            <v>3</v>
          </cell>
          <cell r="AA47" t="str">
            <v>Ya</v>
          </cell>
          <cell r="AB47" t="str">
            <v>Tidak</v>
          </cell>
          <cell r="AC47" t="str">
            <v>Tidak</v>
          </cell>
        </row>
        <row r="48">
          <cell r="B48" t="str">
            <v>10067</v>
          </cell>
          <cell r="C48" t="str">
            <v>Imroatin Marifatin</v>
          </cell>
          <cell r="D48" t="str">
            <v>Perum Mutiara Kebonagung D No.2 RT.24 RW.7 Kel. Kebonagung - Kec. Sukodono</v>
          </cell>
          <cell r="E48" t="str">
            <v>Sidoarjo</v>
          </cell>
          <cell r="F48" t="str">
            <v>031-8832397</v>
          </cell>
          <cell r="G48" t="str">
            <v>3515144405700003</v>
          </cell>
          <cell r="H48" t="str">
            <v>08123290769, 081233190418</v>
          </cell>
          <cell r="I48">
            <v>44933</v>
          </cell>
          <cell r="J48">
            <v>25663</v>
          </cell>
          <cell r="K48"/>
          <cell r="L48" t="str">
            <v>Islam</v>
          </cell>
          <cell r="M48" t="str">
            <v>Sidoarjo</v>
          </cell>
          <cell r="N48" t="str">
            <v>Teknik</v>
          </cell>
          <cell r="O48" t="str">
            <v>Teknik</v>
          </cell>
          <cell r="P48" t="str">
            <v>Staf Equel To Kabag</v>
          </cell>
          <cell r="Q48" t="str">
            <v>III</v>
          </cell>
          <cell r="R48" t="str">
            <v>Shift</v>
          </cell>
          <cell r="S48" t="str">
            <v>Aktif</v>
          </cell>
          <cell r="T48" t="str">
            <v>NS2</v>
          </cell>
          <cell r="U48"/>
          <cell r="V48" t="str">
            <v>IG_PROD</v>
          </cell>
          <cell r="W48">
            <v>56</v>
          </cell>
          <cell r="X48">
            <v>32</v>
          </cell>
          <cell r="Y48" t="str">
            <v>T/0</v>
          </cell>
          <cell r="Z48">
            <v>3</v>
          </cell>
          <cell r="AA48" t="str">
            <v>Ya</v>
          </cell>
          <cell r="AB48" t="str">
            <v>Ya</v>
          </cell>
          <cell r="AC48" t="str">
            <v>Ya</v>
          </cell>
        </row>
        <row r="49">
          <cell r="B49" t="str">
            <v>10113</v>
          </cell>
          <cell r="C49" t="str">
            <v>Rydho Nurdianto</v>
          </cell>
          <cell r="D49" t="str">
            <v>Kav. Bantengan Gg. Perkutut Krian</v>
          </cell>
          <cell r="E49" t="str">
            <v>Sidoarjo</v>
          </cell>
          <cell r="F49"/>
          <cell r="G49" t="str">
            <v>3578082002770003</v>
          </cell>
          <cell r="H49" t="str">
            <v>085730835080</v>
          </cell>
          <cell r="I49">
            <v>44933</v>
          </cell>
          <cell r="J49" t="e">
            <v>#VALUE!</v>
          </cell>
          <cell r="K49"/>
          <cell r="L49" t="str">
            <v>Islam</v>
          </cell>
          <cell r="M49" t="str">
            <v>Sidoarjo</v>
          </cell>
          <cell r="N49" t="str">
            <v>Teknik</v>
          </cell>
          <cell r="O49" t="str">
            <v>Utility</v>
          </cell>
          <cell r="P49" t="str">
            <v>Supervisor</v>
          </cell>
          <cell r="Q49" t="str">
            <v>D3</v>
          </cell>
          <cell r="R49" t="str">
            <v>Grup Shift</v>
          </cell>
          <cell r="S49" t="str">
            <v>Aktif</v>
          </cell>
          <cell r="T49"/>
          <cell r="U49" t="str">
            <v>SP240526</v>
          </cell>
          <cell r="V49" t="str">
            <v>Instant</v>
          </cell>
          <cell r="W49">
            <v>49</v>
          </cell>
          <cell r="X49">
            <v>30</v>
          </cell>
          <cell r="Y49" t="str">
            <v>K/2</v>
          </cell>
          <cell r="Z49">
            <v>3</v>
          </cell>
          <cell r="AA49" t="str">
            <v>Ya</v>
          </cell>
          <cell r="AB49" t="str">
            <v>Ya</v>
          </cell>
          <cell r="AC49" t="str">
            <v>Ya</v>
          </cell>
        </row>
        <row r="50">
          <cell r="B50" t="str">
            <v>10201</v>
          </cell>
          <cell r="C50" t="str">
            <v>Mohamad Arif Santosa</v>
          </cell>
          <cell r="D50" t="str">
            <v>Perum GPSI Jln. Pirus Blok P-16 RT.15 RW.X Sidorejo Krian</v>
          </cell>
          <cell r="E50" t="str">
            <v>Sidoarjo</v>
          </cell>
          <cell r="F50"/>
          <cell r="G50" t="str">
            <v>3515111405740001</v>
          </cell>
          <cell r="H50" t="str">
            <v>08970410500</v>
          </cell>
          <cell r="I50">
            <v>44933</v>
          </cell>
          <cell r="J50" t="e">
            <v>#VALUE!</v>
          </cell>
          <cell r="K50"/>
          <cell r="L50" t="str">
            <v>Islam</v>
          </cell>
          <cell r="M50" t="str">
            <v>Sidoarjo</v>
          </cell>
          <cell r="N50" t="str">
            <v>Teknik</v>
          </cell>
          <cell r="O50" t="str">
            <v>Utility</v>
          </cell>
          <cell r="P50" t="str">
            <v>Supervisor</v>
          </cell>
          <cell r="Q50" t="str">
            <v>D2</v>
          </cell>
          <cell r="R50" t="str">
            <v>Grup Shift</v>
          </cell>
          <cell r="S50" t="str">
            <v>Aktif</v>
          </cell>
          <cell r="T50"/>
          <cell r="U50" t="str">
            <v>BP240526</v>
          </cell>
          <cell r="V50" t="str">
            <v>Instant</v>
          </cell>
          <cell r="W50">
            <v>52</v>
          </cell>
          <cell r="X50">
            <v>29</v>
          </cell>
          <cell r="Y50" t="str">
            <v>K/2</v>
          </cell>
          <cell r="Z50">
            <v>3</v>
          </cell>
          <cell r="AA50" t="str">
            <v>Ya</v>
          </cell>
          <cell r="AB50" t="str">
            <v>Ya</v>
          </cell>
          <cell r="AC50" t="str">
            <v>Ya</v>
          </cell>
        </row>
        <row r="51">
          <cell r="B51" t="str">
            <v>10415</v>
          </cell>
          <cell r="C51" t="str">
            <v>Dwi Jayanto Wiryono</v>
          </cell>
          <cell r="D51" t="str">
            <v>Dsn Sampuri RT 2 RW 3 Kel.Karangpuri - Kec. Wonoayu</v>
          </cell>
          <cell r="E51" t="str">
            <v>Sidoarjo</v>
          </cell>
          <cell r="F51"/>
          <cell r="G51" t="str">
            <v>3515102211730001</v>
          </cell>
          <cell r="H51" t="str">
            <v>085852627835</v>
          </cell>
          <cell r="I51">
            <v>44933</v>
          </cell>
          <cell r="J51" t="e">
            <v>#VALUE!</v>
          </cell>
          <cell r="K51"/>
          <cell r="L51" t="str">
            <v>Islam</v>
          </cell>
          <cell r="M51" t="str">
            <v>Sidoarjo</v>
          </cell>
          <cell r="N51" t="str">
            <v>Teknik</v>
          </cell>
          <cell r="O51" t="str">
            <v>Utility</v>
          </cell>
          <cell r="P51" t="str">
            <v>Supervisor</v>
          </cell>
          <cell r="Q51" t="str">
            <v>D3</v>
          </cell>
          <cell r="R51" t="str">
            <v>Grup Shift</v>
          </cell>
          <cell r="S51" t="str">
            <v>Aktif</v>
          </cell>
          <cell r="T51"/>
          <cell r="U51" t="str">
            <v>JP240526</v>
          </cell>
          <cell r="V51" t="str">
            <v>Instant</v>
          </cell>
          <cell r="W51">
            <v>52</v>
          </cell>
          <cell r="X51">
            <v>29</v>
          </cell>
          <cell r="Y51" t="str">
            <v>K/1</v>
          </cell>
          <cell r="Z51">
            <v>3</v>
          </cell>
          <cell r="AA51" t="str">
            <v>Ya</v>
          </cell>
          <cell r="AB51" t="str">
            <v>Ya</v>
          </cell>
          <cell r="AC51" t="str">
            <v>Ya</v>
          </cell>
        </row>
        <row r="52">
          <cell r="B52" t="str">
            <v>10807</v>
          </cell>
          <cell r="C52" t="str">
            <v>Ulus Swikno</v>
          </cell>
          <cell r="D52" t="str">
            <v>Grabagan RT.05 RW.01 Tulangan</v>
          </cell>
          <cell r="E52" t="str">
            <v>Sidoarjo</v>
          </cell>
          <cell r="F52"/>
          <cell r="G52" t="str">
            <v>3515091504780004</v>
          </cell>
          <cell r="H52" t="str">
            <v>085784370900</v>
          </cell>
          <cell r="I52">
            <v>44933</v>
          </cell>
          <cell r="J52" t="e">
            <v>#VALUE!</v>
          </cell>
          <cell r="K52"/>
          <cell r="L52" t="str">
            <v>Islam</v>
          </cell>
          <cell r="M52" t="str">
            <v>Sidoarjo</v>
          </cell>
          <cell r="N52" t="str">
            <v>Teknik</v>
          </cell>
          <cell r="O52" t="str">
            <v>Workshop</v>
          </cell>
          <cell r="P52" t="str">
            <v>Teknisi</v>
          </cell>
          <cell r="Q52" t="str">
            <v>C3</v>
          </cell>
          <cell r="R52" t="str">
            <v>Shift</v>
          </cell>
          <cell r="S52" t="str">
            <v>Aktif</v>
          </cell>
          <cell r="T52" t="str">
            <v>NS1</v>
          </cell>
          <cell r="U52"/>
          <cell r="V52" t="str">
            <v>Instant</v>
          </cell>
          <cell r="W52">
            <v>48</v>
          </cell>
          <cell r="X52">
            <v>6</v>
          </cell>
          <cell r="Y52" t="str">
            <v>K/2</v>
          </cell>
          <cell r="Z52">
            <v>3</v>
          </cell>
          <cell r="AA52" t="str">
            <v>Ya</v>
          </cell>
          <cell r="AB52" t="str">
            <v>Ya</v>
          </cell>
          <cell r="AC52" t="str">
            <v>Ya</v>
          </cell>
        </row>
        <row r="53">
          <cell r="B53" t="str">
            <v>20103</v>
          </cell>
          <cell r="C53" t="str">
            <v>Jumadi</v>
          </cell>
          <cell r="D53" t="str">
            <v>Dsn.Sukorejo RT.03 RW.02 Peterongan-Bangsal</v>
          </cell>
          <cell r="E53" t="str">
            <v>Mojokerto</v>
          </cell>
          <cell r="F53"/>
          <cell r="G53" t="str">
            <v>3516101403740001</v>
          </cell>
          <cell r="H53" t="str">
            <v>085232393758</v>
          </cell>
          <cell r="I53">
            <v>44933</v>
          </cell>
          <cell r="J53" t="e">
            <v>#VALUE!</v>
          </cell>
          <cell r="K53"/>
          <cell r="L53" t="str">
            <v>Islam</v>
          </cell>
          <cell r="M53" t="str">
            <v>Sidoarjo</v>
          </cell>
          <cell r="N53" t="str">
            <v>Produksi</v>
          </cell>
          <cell r="O53" t="str">
            <v>Bulk Packing</v>
          </cell>
          <cell r="P53" t="str">
            <v>Kepala Regu</v>
          </cell>
          <cell r="Q53" t="str">
            <v>A4</v>
          </cell>
          <cell r="R53" t="str">
            <v>Grup Shift</v>
          </cell>
          <cell r="S53" t="str">
            <v>Aktif</v>
          </cell>
          <cell r="T53"/>
          <cell r="U53" t="str">
            <v>SP240526</v>
          </cell>
          <cell r="V53" t="str">
            <v>Instant</v>
          </cell>
          <cell r="W53">
            <v>52</v>
          </cell>
          <cell r="X53">
            <v>30</v>
          </cell>
          <cell r="Y53" t="str">
            <v>K/0</v>
          </cell>
          <cell r="Z53">
            <v>3</v>
          </cell>
          <cell r="AA53" t="str">
            <v>Ya</v>
          </cell>
          <cell r="AB53" t="str">
            <v>Ya</v>
          </cell>
          <cell r="AC53" t="str">
            <v>Ya</v>
          </cell>
        </row>
        <row r="54">
          <cell r="B54" t="str">
            <v>20214</v>
          </cell>
          <cell r="C54" t="str">
            <v>Hariyanto</v>
          </cell>
          <cell r="D54" t="str">
            <v>Dsn. Madubronto RT.30 RW.7 Kel. Sidorejo - Kec. Krian</v>
          </cell>
          <cell r="E54" t="str">
            <v>Sidoarjo</v>
          </cell>
          <cell r="F54"/>
          <cell r="G54" t="str">
            <v>3515111406750001</v>
          </cell>
          <cell r="H54" t="str">
            <v>085731050959</v>
          </cell>
          <cell r="I54">
            <v>44933</v>
          </cell>
          <cell r="J54" t="e">
            <v>#VALUE!</v>
          </cell>
          <cell r="K54"/>
          <cell r="L54" t="str">
            <v>Islam</v>
          </cell>
          <cell r="M54" t="str">
            <v>Sidoarjo</v>
          </cell>
          <cell r="N54" t="str">
            <v>Produksi</v>
          </cell>
          <cell r="O54" t="str">
            <v>Bulk Packing</v>
          </cell>
          <cell r="P54" t="str">
            <v>Kepala Regu</v>
          </cell>
          <cell r="Q54" t="str">
            <v>A4</v>
          </cell>
          <cell r="R54" t="str">
            <v>Grup Shift</v>
          </cell>
          <cell r="S54" t="str">
            <v>Aktif</v>
          </cell>
          <cell r="T54"/>
          <cell r="U54" t="str">
            <v>BP240526</v>
          </cell>
          <cell r="V54" t="str">
            <v>Instant</v>
          </cell>
          <cell r="W54">
            <v>51</v>
          </cell>
          <cell r="X54">
            <v>29</v>
          </cell>
          <cell r="Y54" t="str">
            <v>K/2</v>
          </cell>
          <cell r="Z54">
            <v>3</v>
          </cell>
          <cell r="AA54" t="str">
            <v>Ya</v>
          </cell>
          <cell r="AB54" t="str">
            <v>Ya</v>
          </cell>
          <cell r="AC54" t="str">
            <v>Ya</v>
          </cell>
        </row>
        <row r="55">
          <cell r="B55" t="str">
            <v>20359</v>
          </cell>
          <cell r="C55" t="str">
            <v>Martolo</v>
          </cell>
          <cell r="D55" t="str">
            <v>Semawut Rt.08/03 Ds. Balongbendo Kec. Balongbendo</v>
          </cell>
          <cell r="E55" t="str">
            <v>Sidoarjo</v>
          </cell>
          <cell r="F55"/>
          <cell r="G55" t="str">
            <v>3515121705770001</v>
          </cell>
          <cell r="H55" t="str">
            <v>0895324737816</v>
          </cell>
          <cell r="I55">
            <v>44933</v>
          </cell>
          <cell r="J55" t="e">
            <v>#VALUE!</v>
          </cell>
          <cell r="K55"/>
          <cell r="L55" t="str">
            <v>Islam</v>
          </cell>
          <cell r="M55" t="str">
            <v>Sidoarjo</v>
          </cell>
          <cell r="N55" t="str">
            <v>Produksi</v>
          </cell>
          <cell r="O55" t="str">
            <v>Bulk Packing</v>
          </cell>
          <cell r="P55" t="str">
            <v>Kepala Regu</v>
          </cell>
          <cell r="Q55" t="str">
            <v>A4</v>
          </cell>
          <cell r="R55" t="str">
            <v>Grup Shift</v>
          </cell>
          <cell r="S55" t="str">
            <v>Aktif</v>
          </cell>
          <cell r="T55"/>
          <cell r="U55" t="str">
            <v>JP240526</v>
          </cell>
          <cell r="V55" t="str">
            <v>Instant</v>
          </cell>
          <cell r="W55">
            <v>49</v>
          </cell>
          <cell r="X55">
            <v>29</v>
          </cell>
          <cell r="Y55" t="str">
            <v>K/1</v>
          </cell>
          <cell r="Z55">
            <v>3</v>
          </cell>
          <cell r="AA55" t="str">
            <v>Ya</v>
          </cell>
          <cell r="AB55" t="str">
            <v>Ya</v>
          </cell>
          <cell r="AC55" t="str">
            <v>Ya</v>
          </cell>
        </row>
        <row r="56">
          <cell r="B56" t="str">
            <v>20360</v>
          </cell>
          <cell r="C56" t="str">
            <v>Achmad Tohanun Kutub</v>
          </cell>
          <cell r="D56" t="str">
            <v>Jrebeng RT.3 RW.3 Kel. Sidomulyo - Kec. Krian</v>
          </cell>
          <cell r="E56" t="str">
            <v>Sidoarjo</v>
          </cell>
          <cell r="F56"/>
          <cell r="G56" t="str">
            <v>3515110703700001</v>
          </cell>
          <cell r="H56" t="str">
            <v>085852988642</v>
          </cell>
          <cell r="I56">
            <v>44933</v>
          </cell>
          <cell r="J56">
            <v>25752</v>
          </cell>
          <cell r="K56"/>
          <cell r="L56" t="str">
            <v>Islam</v>
          </cell>
          <cell r="M56" t="str">
            <v>Sidoarjo</v>
          </cell>
          <cell r="N56" t="str">
            <v>Produksi</v>
          </cell>
          <cell r="O56" t="str">
            <v>Bulk Packing</v>
          </cell>
          <cell r="P56" t="str">
            <v>Kepala Regu</v>
          </cell>
          <cell r="Q56" t="str">
            <v>A4</v>
          </cell>
          <cell r="R56" t="str">
            <v>Grup Shift</v>
          </cell>
          <cell r="S56" t="str">
            <v>Aktif</v>
          </cell>
          <cell r="T56"/>
          <cell r="U56" t="str">
            <v>AP240526</v>
          </cell>
          <cell r="V56" t="str">
            <v>Instant</v>
          </cell>
          <cell r="W56">
            <v>56</v>
          </cell>
          <cell r="X56">
            <v>29</v>
          </cell>
          <cell r="Y56" t="str">
            <v>K/3</v>
          </cell>
          <cell r="Z56">
            <v>3</v>
          </cell>
          <cell r="AA56" t="str">
            <v>Ya</v>
          </cell>
          <cell r="AB56" t="str">
            <v>Ya</v>
          </cell>
          <cell r="AC56" t="str">
            <v>Ya</v>
          </cell>
        </row>
        <row r="57">
          <cell r="B57" t="str">
            <v>20032</v>
          </cell>
          <cell r="C57" t="str">
            <v>Khoirul Anam</v>
          </cell>
          <cell r="D57" t="str">
            <v>Kesamben Wetan RT.14 RW.02 Kel. Kesamben Wetan - Kec Driyorejo</v>
          </cell>
          <cell r="E57" t="str">
            <v>Gresik</v>
          </cell>
          <cell r="F57"/>
          <cell r="G57" t="str">
            <v>3525151104740001</v>
          </cell>
          <cell r="H57" t="str">
            <v>085648387158</v>
          </cell>
          <cell r="I57">
            <v>44933</v>
          </cell>
          <cell r="J57">
            <v>27337</v>
          </cell>
          <cell r="K57"/>
          <cell r="L57" t="str">
            <v>Islam</v>
          </cell>
          <cell r="M57" t="str">
            <v>Sidoarjo</v>
          </cell>
          <cell r="N57" t="str">
            <v>Produksi</v>
          </cell>
          <cell r="O57" t="str">
            <v>Bulk Packing</v>
          </cell>
          <cell r="P57" t="str">
            <v>Operator</v>
          </cell>
          <cell r="Q57" t="str">
            <v>A3</v>
          </cell>
          <cell r="R57" t="str">
            <v>Grup Shift</v>
          </cell>
          <cell r="S57" t="str">
            <v>Aktif</v>
          </cell>
          <cell r="T57"/>
          <cell r="U57" t="str">
            <v>BP240526</v>
          </cell>
          <cell r="V57" t="str">
            <v>Instant</v>
          </cell>
          <cell r="W57">
            <v>52</v>
          </cell>
          <cell r="X57">
            <v>34</v>
          </cell>
          <cell r="Y57" t="str">
            <v>K/1</v>
          </cell>
          <cell r="Z57">
            <v>3</v>
          </cell>
          <cell r="AA57" t="str">
            <v>Ya</v>
          </cell>
          <cell r="AB57" t="str">
            <v>Ya</v>
          </cell>
          <cell r="AC57" t="str">
            <v>Ya</v>
          </cell>
        </row>
        <row r="58">
          <cell r="B58" t="str">
            <v>20073</v>
          </cell>
          <cell r="C58" t="str">
            <v>Tri Winarji</v>
          </cell>
          <cell r="D58" t="str">
            <v>Dsn. Ketapangrejo Rt.001 RW.001 Ds. Ketapangkuning - Ngusikan</v>
          </cell>
          <cell r="E58" t="str">
            <v>Jombang</v>
          </cell>
          <cell r="F58"/>
          <cell r="G58" t="str">
            <v>3515132205730008</v>
          </cell>
          <cell r="H58" t="str">
            <v>085785501335</v>
          </cell>
          <cell r="I58">
            <v>44933</v>
          </cell>
          <cell r="J58" t="e">
            <v>#VALUE!</v>
          </cell>
          <cell r="K58"/>
          <cell r="L58" t="str">
            <v>Islam</v>
          </cell>
          <cell r="M58" t="str">
            <v>Sidoarjo</v>
          </cell>
          <cell r="N58" t="str">
            <v>Produksi</v>
          </cell>
          <cell r="O58" t="str">
            <v>Bulk Packing</v>
          </cell>
          <cell r="P58" t="str">
            <v>Operator</v>
          </cell>
          <cell r="Q58" t="str">
            <v>A3</v>
          </cell>
          <cell r="R58" t="str">
            <v>Grup Shift</v>
          </cell>
          <cell r="S58" t="str">
            <v>Aktif</v>
          </cell>
          <cell r="T58"/>
          <cell r="U58" t="str">
            <v>AP240526</v>
          </cell>
          <cell r="V58" t="str">
            <v>Instant</v>
          </cell>
          <cell r="W58">
            <v>53</v>
          </cell>
          <cell r="X58">
            <v>32</v>
          </cell>
          <cell r="Y58" t="str">
            <v>K/2</v>
          </cell>
          <cell r="Z58">
            <v>3</v>
          </cell>
          <cell r="AA58" t="str">
            <v>Ya</v>
          </cell>
          <cell r="AB58" t="str">
            <v>Ya</v>
          </cell>
          <cell r="AC58" t="str">
            <v>Ya</v>
          </cell>
        </row>
        <row r="59">
          <cell r="B59" t="str">
            <v>20254</v>
          </cell>
          <cell r="C59" t="str">
            <v>Zaiyin</v>
          </cell>
          <cell r="D59" t="str">
            <v>Kemiri RT.9 RW.3 Kel. Kepuhkemiri - Kec. Tulangan</v>
          </cell>
          <cell r="E59" t="str">
            <v>Sidoarjo</v>
          </cell>
          <cell r="F59"/>
          <cell r="G59" t="str">
            <v>3515091005750005</v>
          </cell>
          <cell r="H59" t="str">
            <v>085648363538</v>
          </cell>
          <cell r="I59">
            <v>44933</v>
          </cell>
          <cell r="J59">
            <v>27672</v>
          </cell>
          <cell r="K59"/>
          <cell r="L59" t="str">
            <v>Islam</v>
          </cell>
          <cell r="M59" t="str">
            <v>Sidoarjo</v>
          </cell>
          <cell r="N59" t="str">
            <v>Produksi</v>
          </cell>
          <cell r="O59" t="str">
            <v>Bulk Packing</v>
          </cell>
          <cell r="P59" t="str">
            <v>Operator</v>
          </cell>
          <cell r="Q59" t="str">
            <v>A2</v>
          </cell>
          <cell r="R59" t="str">
            <v>Grup Shift</v>
          </cell>
          <cell r="S59" t="str">
            <v>Aktif</v>
          </cell>
          <cell r="T59"/>
          <cell r="U59" t="str">
            <v>AP240526</v>
          </cell>
          <cell r="V59" t="str">
            <v>Instant</v>
          </cell>
          <cell r="W59">
            <v>51</v>
          </cell>
          <cell r="X59">
            <v>29</v>
          </cell>
          <cell r="Y59" t="str">
            <v>K/1</v>
          </cell>
          <cell r="Z59">
            <v>3</v>
          </cell>
          <cell r="AA59" t="str">
            <v>Ya</v>
          </cell>
          <cell r="AB59" t="str">
            <v>Ya</v>
          </cell>
          <cell r="AC59" t="str">
            <v>Ya</v>
          </cell>
        </row>
        <row r="60">
          <cell r="B60" t="str">
            <v>20264</v>
          </cell>
          <cell r="C60" t="str">
            <v>Moch Tohari</v>
          </cell>
          <cell r="D60" t="str">
            <v>Dsn Klutuk  RT. 02 RW.01 Kramat Jegu, Taman</v>
          </cell>
          <cell r="E60" t="str">
            <v>Sidoarjo</v>
          </cell>
          <cell r="F60"/>
          <cell r="G60" t="str">
            <v>3515130602770003</v>
          </cell>
          <cell r="H60" t="str">
            <v>085732695217, 088217121428</v>
          </cell>
          <cell r="I60">
            <v>44933</v>
          </cell>
          <cell r="J60">
            <v>28278</v>
          </cell>
          <cell r="K60"/>
          <cell r="L60" t="str">
            <v>Islam</v>
          </cell>
          <cell r="M60" t="str">
            <v>Sidoarjo</v>
          </cell>
          <cell r="N60" t="str">
            <v>Produksi</v>
          </cell>
          <cell r="O60" t="str">
            <v>Bulk Packing</v>
          </cell>
          <cell r="P60" t="str">
            <v>Operator</v>
          </cell>
          <cell r="Q60" t="str">
            <v>A4</v>
          </cell>
          <cell r="R60" t="str">
            <v>Grup Shift</v>
          </cell>
          <cell r="S60" t="str">
            <v>Aktif</v>
          </cell>
          <cell r="T60"/>
          <cell r="U60" t="str">
            <v>SP240526</v>
          </cell>
          <cell r="V60" t="str">
            <v>Instant</v>
          </cell>
          <cell r="W60">
            <v>49</v>
          </cell>
          <cell r="X60">
            <v>29</v>
          </cell>
          <cell r="Y60" t="str">
            <v>K/1</v>
          </cell>
          <cell r="Z60">
            <v>3</v>
          </cell>
          <cell r="AA60" t="str">
            <v>Ya</v>
          </cell>
          <cell r="AB60" t="str">
            <v>Ya</v>
          </cell>
          <cell r="AC60" t="str">
            <v>Ya</v>
          </cell>
        </row>
        <row r="61">
          <cell r="B61" t="str">
            <v>20277</v>
          </cell>
          <cell r="C61" t="str">
            <v>Rudi Siswanto</v>
          </cell>
          <cell r="D61" t="str">
            <v>Dsn.Suwaluh Selatan RT.18 RW.05 Suwaluh - Balongbendo</v>
          </cell>
          <cell r="E61" t="str">
            <v>Sidoarjo</v>
          </cell>
          <cell r="F61"/>
          <cell r="G61" t="str">
            <v>3515123008690001</v>
          </cell>
          <cell r="H61" t="str">
            <v>081543411822</v>
          </cell>
          <cell r="I61">
            <v>44933</v>
          </cell>
          <cell r="J61" t="e">
            <v>#VALUE!</v>
          </cell>
          <cell r="K61"/>
          <cell r="L61" t="str">
            <v>Islam</v>
          </cell>
          <cell r="M61" t="str">
            <v>Sidoarjo</v>
          </cell>
          <cell r="N61" t="str">
            <v>Produksi</v>
          </cell>
          <cell r="O61" t="str">
            <v>Bulk Packing</v>
          </cell>
          <cell r="P61" t="str">
            <v>Operator</v>
          </cell>
          <cell r="Q61" t="str">
            <v>A3</v>
          </cell>
          <cell r="R61" t="str">
            <v>Grup Shift</v>
          </cell>
          <cell r="S61" t="str">
            <v>Aktif</v>
          </cell>
          <cell r="T61"/>
          <cell r="U61" t="str">
            <v>BP240526</v>
          </cell>
          <cell r="V61" t="str">
            <v>Instant</v>
          </cell>
          <cell r="W61">
            <v>56</v>
          </cell>
          <cell r="X61">
            <v>29</v>
          </cell>
          <cell r="Y61" t="str">
            <v>T/1</v>
          </cell>
          <cell r="Z61">
            <v>3</v>
          </cell>
          <cell r="AA61" t="str">
            <v>Ya</v>
          </cell>
          <cell r="AB61" t="str">
            <v>Ya</v>
          </cell>
          <cell r="AC61" t="str">
            <v>Ya</v>
          </cell>
        </row>
        <row r="62">
          <cell r="B62" t="str">
            <v>20352</v>
          </cell>
          <cell r="C62" t="str">
            <v>Muslikin</v>
          </cell>
          <cell r="D62" t="str">
            <v>Dsn.Klinter RT.16 RW.04 Banjarwungu - Tarik</v>
          </cell>
          <cell r="E62" t="str">
            <v>Sidoarjo</v>
          </cell>
          <cell r="F62"/>
          <cell r="G62" t="str">
            <v>3515010607780003</v>
          </cell>
          <cell r="H62" t="str">
            <v>085732136437</v>
          </cell>
          <cell r="I62">
            <v>44933</v>
          </cell>
          <cell r="J62">
            <v>28648</v>
          </cell>
          <cell r="K62"/>
          <cell r="L62" t="str">
            <v>Islam</v>
          </cell>
          <cell r="M62" t="str">
            <v>Sidoarjo</v>
          </cell>
          <cell r="N62" t="str">
            <v>Produksi</v>
          </cell>
          <cell r="O62" t="str">
            <v>Bulk Packing</v>
          </cell>
          <cell r="P62" t="str">
            <v>Operator</v>
          </cell>
          <cell r="Q62" t="str">
            <v>A3</v>
          </cell>
          <cell r="R62" t="str">
            <v>Grup Shift</v>
          </cell>
          <cell r="S62" t="str">
            <v>Aktif</v>
          </cell>
          <cell r="T62"/>
          <cell r="U62" t="str">
            <v>AP240526</v>
          </cell>
          <cell r="V62" t="str">
            <v>Instant</v>
          </cell>
          <cell r="W62">
            <v>48</v>
          </cell>
          <cell r="X62">
            <v>29</v>
          </cell>
          <cell r="Y62" t="str">
            <v>K/1</v>
          </cell>
          <cell r="Z62">
            <v>3</v>
          </cell>
          <cell r="AA62" t="str">
            <v>Ya</v>
          </cell>
          <cell r="AB62" t="str">
            <v>Ya</v>
          </cell>
          <cell r="AC62" t="str">
            <v>Ya</v>
          </cell>
        </row>
        <row r="63">
          <cell r="B63" t="str">
            <v>20363</v>
          </cell>
          <cell r="C63" t="str">
            <v>Mardi Arto</v>
          </cell>
          <cell r="D63" t="str">
            <v>Dsn Babadan  RT.12 RW.4 Kel. Junwangi - Kec. Krian</v>
          </cell>
          <cell r="E63" t="str">
            <v>Sidoarjo</v>
          </cell>
          <cell r="F63"/>
          <cell r="G63" t="str">
            <v>3515110703760004</v>
          </cell>
          <cell r="H63" t="str">
            <v>082140740412</v>
          </cell>
          <cell r="I63">
            <v>44933</v>
          </cell>
          <cell r="J63">
            <v>27944</v>
          </cell>
          <cell r="K63"/>
          <cell r="L63" t="str">
            <v>Islam</v>
          </cell>
          <cell r="M63" t="str">
            <v>Sidoarjo</v>
          </cell>
          <cell r="N63" t="str">
            <v>Produksi</v>
          </cell>
          <cell r="O63" t="str">
            <v>Bulk Packing</v>
          </cell>
          <cell r="P63" t="str">
            <v>Operator</v>
          </cell>
          <cell r="Q63" t="str">
            <v>A3</v>
          </cell>
          <cell r="R63" t="str">
            <v>Grup Shift</v>
          </cell>
          <cell r="S63" t="str">
            <v>Aktif</v>
          </cell>
          <cell r="T63"/>
          <cell r="U63" t="str">
            <v>BP240526</v>
          </cell>
          <cell r="V63" t="str">
            <v>Instant</v>
          </cell>
          <cell r="W63">
            <v>50</v>
          </cell>
          <cell r="X63">
            <v>29</v>
          </cell>
          <cell r="Y63" t="str">
            <v>T/0</v>
          </cell>
          <cell r="Z63">
            <v>3</v>
          </cell>
          <cell r="AA63" t="str">
            <v>Ya</v>
          </cell>
          <cell r="AB63" t="str">
            <v>Ya</v>
          </cell>
          <cell r="AC63" t="str">
            <v>Ya</v>
          </cell>
        </row>
        <row r="64">
          <cell r="B64" t="str">
            <v>20372</v>
          </cell>
          <cell r="C64" t="str">
            <v>Tri Wardojo</v>
          </cell>
          <cell r="D64" t="str">
            <v>Sidorogo Rt.03 Rw.06 Trosobo Taman (kos)</v>
          </cell>
          <cell r="E64" t="str">
            <v>Sidoarjo (61257)</v>
          </cell>
          <cell r="F64"/>
          <cell r="G64" t="str">
            <v>3506101211710003</v>
          </cell>
          <cell r="H64" t="str">
            <v>08113434685</v>
          </cell>
          <cell r="I64">
            <v>44933</v>
          </cell>
          <cell r="J64">
            <v>26278</v>
          </cell>
          <cell r="K64"/>
          <cell r="L64" t="str">
            <v>Islam</v>
          </cell>
          <cell r="M64" t="str">
            <v>Sidoarjo</v>
          </cell>
          <cell r="N64" t="str">
            <v>Produksi</v>
          </cell>
          <cell r="O64" t="str">
            <v>Bulk Packing</v>
          </cell>
          <cell r="P64" t="str">
            <v>Operator</v>
          </cell>
          <cell r="Q64" t="str">
            <v>A3</v>
          </cell>
          <cell r="R64" t="str">
            <v>Grup Shift</v>
          </cell>
          <cell r="S64" t="str">
            <v>Aktif</v>
          </cell>
          <cell r="T64"/>
          <cell r="U64" t="str">
            <v>JP240526</v>
          </cell>
          <cell r="V64" t="str">
            <v>Instant</v>
          </cell>
          <cell r="W64">
            <v>54</v>
          </cell>
          <cell r="X64">
            <v>29</v>
          </cell>
          <cell r="Y64" t="str">
            <v>T/0</v>
          </cell>
          <cell r="Z64">
            <v>3</v>
          </cell>
          <cell r="AA64" t="str">
            <v>Ya</v>
          </cell>
          <cell r="AB64" t="str">
            <v>Ya</v>
          </cell>
          <cell r="AC64" t="str">
            <v>Ya</v>
          </cell>
        </row>
        <row r="65">
          <cell r="B65" t="str">
            <v>20374</v>
          </cell>
          <cell r="C65" t="str">
            <v>Nuri Alfin</v>
          </cell>
          <cell r="D65" t="str">
            <v>Terungkulon RT.6 RW.1 kel. Terungkulon - Kec.Krian</v>
          </cell>
          <cell r="E65" t="str">
            <v>Sidoarjo</v>
          </cell>
          <cell r="F65"/>
          <cell r="G65" t="str">
            <v>3515112509720003</v>
          </cell>
          <cell r="H65" t="str">
            <v>085645768525</v>
          </cell>
          <cell r="I65">
            <v>44933</v>
          </cell>
          <cell r="J65" t="e">
            <v>#VALUE!</v>
          </cell>
          <cell r="K65"/>
          <cell r="L65" t="str">
            <v>Islam</v>
          </cell>
          <cell r="M65" t="str">
            <v>Sidoarjo</v>
          </cell>
          <cell r="N65" t="str">
            <v>Produksi</v>
          </cell>
          <cell r="O65" t="str">
            <v>Bulk Packing</v>
          </cell>
          <cell r="P65" t="str">
            <v>Operator</v>
          </cell>
          <cell r="Q65" t="str">
            <v>A3</v>
          </cell>
          <cell r="R65" t="str">
            <v>Grup Shift</v>
          </cell>
          <cell r="S65" t="str">
            <v>Aktif</v>
          </cell>
          <cell r="T65"/>
          <cell r="U65" t="str">
            <v>BP240526</v>
          </cell>
          <cell r="V65" t="str">
            <v>Instant</v>
          </cell>
          <cell r="W65">
            <v>53</v>
          </cell>
          <cell r="X65">
            <v>29</v>
          </cell>
          <cell r="Y65" t="str">
            <v>K/2</v>
          </cell>
          <cell r="Z65">
            <v>3</v>
          </cell>
          <cell r="AA65" t="str">
            <v>Ya</v>
          </cell>
          <cell r="AB65" t="str">
            <v>Ya</v>
          </cell>
          <cell r="AC65" t="str">
            <v>Ya</v>
          </cell>
        </row>
        <row r="66">
          <cell r="B66" t="str">
            <v>20377</v>
          </cell>
          <cell r="C66" t="str">
            <v>Agus Hariono</v>
          </cell>
          <cell r="D66" t="str">
            <v>Perum Grand Indra Prasta Blok C5/2 Rt.05 Rw.03 Simogirang - Prambon</v>
          </cell>
          <cell r="E66" t="str">
            <v>Sidoarjo</v>
          </cell>
          <cell r="F66"/>
          <cell r="G66" t="str">
            <v>3578111708750001</v>
          </cell>
          <cell r="H66" t="str">
            <v>081334906403</v>
          </cell>
          <cell r="I66">
            <v>44933</v>
          </cell>
          <cell r="J66" t="e">
            <v>#VALUE!</v>
          </cell>
          <cell r="K66"/>
          <cell r="L66" t="str">
            <v>Islam</v>
          </cell>
          <cell r="M66" t="str">
            <v>Sidoarjo</v>
          </cell>
          <cell r="N66" t="str">
            <v>Produksi</v>
          </cell>
          <cell r="O66" t="str">
            <v>Bulk Packing</v>
          </cell>
          <cell r="P66" t="str">
            <v>Operator</v>
          </cell>
          <cell r="Q66" t="str">
            <v>A3</v>
          </cell>
          <cell r="R66" t="str">
            <v>Grup Shift</v>
          </cell>
          <cell r="S66" t="str">
            <v>Aktif</v>
          </cell>
          <cell r="T66"/>
          <cell r="U66" t="str">
            <v>SP240526</v>
          </cell>
          <cell r="V66" t="str">
            <v>Instant</v>
          </cell>
          <cell r="W66">
            <v>49</v>
          </cell>
          <cell r="X66">
            <v>29</v>
          </cell>
          <cell r="Y66" t="str">
            <v>K/2</v>
          </cell>
          <cell r="Z66">
            <v>3</v>
          </cell>
          <cell r="AA66" t="str">
            <v>Ya</v>
          </cell>
          <cell r="AB66" t="str">
            <v>Ya</v>
          </cell>
          <cell r="AC66" t="str">
            <v>Ya</v>
          </cell>
        </row>
        <row r="67">
          <cell r="B67" t="str">
            <v>20400</v>
          </cell>
          <cell r="C67" t="str">
            <v>Akhmad Afandi</v>
          </cell>
          <cell r="D67" t="str">
            <v>perm indraprasta village blok b no 12mlaten puri</v>
          </cell>
          <cell r="E67" t="str">
            <v>Mojokerto</v>
          </cell>
          <cell r="F67"/>
          <cell r="G67" t="str">
            <v>3516102506730001</v>
          </cell>
          <cell r="H67" t="str">
            <v>085231808322</v>
          </cell>
          <cell r="I67">
            <v>44933</v>
          </cell>
          <cell r="J67" t="e">
            <v>#VALUE!</v>
          </cell>
          <cell r="K67"/>
          <cell r="L67" t="str">
            <v>Islam</v>
          </cell>
          <cell r="M67" t="str">
            <v>Sidoarjo</v>
          </cell>
          <cell r="N67" t="str">
            <v>Produksi</v>
          </cell>
          <cell r="O67" t="str">
            <v>Bulk Packing</v>
          </cell>
          <cell r="P67" t="str">
            <v>Operator</v>
          </cell>
          <cell r="Q67" t="str">
            <v>A3</v>
          </cell>
          <cell r="R67" t="str">
            <v>Grup Shift</v>
          </cell>
          <cell r="S67" t="str">
            <v>Aktif</v>
          </cell>
          <cell r="T67"/>
          <cell r="U67" t="str">
            <v>BP240526</v>
          </cell>
          <cell r="V67" t="str">
            <v>Instant</v>
          </cell>
          <cell r="W67">
            <v>53</v>
          </cell>
          <cell r="X67">
            <v>29</v>
          </cell>
          <cell r="Y67" t="str">
            <v>K/1</v>
          </cell>
          <cell r="Z67">
            <v>3</v>
          </cell>
          <cell r="AA67" t="str">
            <v>Ya</v>
          </cell>
          <cell r="AB67" t="str">
            <v>Ya</v>
          </cell>
          <cell r="AC67" t="str">
            <v>Ya</v>
          </cell>
        </row>
        <row r="68">
          <cell r="B68" t="str">
            <v>20427</v>
          </cell>
          <cell r="C68" t="str">
            <v>Rokim</v>
          </cell>
          <cell r="D68" t="str">
            <v>Dsn. Gatul RT.01 RW.01 Banjaragung - Puri</v>
          </cell>
          <cell r="E68" t="str">
            <v>Mojokerto</v>
          </cell>
          <cell r="F68"/>
          <cell r="G68" t="str">
            <v>3516110608720003</v>
          </cell>
          <cell r="H68" t="str">
            <v>082244916358</v>
          </cell>
          <cell r="I68">
            <v>44933</v>
          </cell>
          <cell r="J68">
            <v>26458</v>
          </cell>
          <cell r="K68"/>
          <cell r="L68" t="str">
            <v>Islam</v>
          </cell>
          <cell r="M68" t="str">
            <v>Sidoarjo</v>
          </cell>
          <cell r="N68" t="str">
            <v>Produksi</v>
          </cell>
          <cell r="O68" t="str">
            <v>Bulk Packing</v>
          </cell>
          <cell r="P68" t="str">
            <v>Operator</v>
          </cell>
          <cell r="Q68" t="str">
            <v>A3</v>
          </cell>
          <cell r="R68" t="str">
            <v>Grup Shift</v>
          </cell>
          <cell r="S68" t="str">
            <v>Aktif</v>
          </cell>
          <cell r="T68"/>
          <cell r="U68" t="str">
            <v>AP240526</v>
          </cell>
          <cell r="V68" t="str">
            <v>Instant</v>
          </cell>
          <cell r="W68">
            <v>53</v>
          </cell>
          <cell r="X68">
            <v>29</v>
          </cell>
          <cell r="Y68" t="str">
            <v>K/1</v>
          </cell>
          <cell r="Z68">
            <v>3</v>
          </cell>
          <cell r="AA68" t="str">
            <v>Ya</v>
          </cell>
          <cell r="AB68" t="str">
            <v>Ya</v>
          </cell>
          <cell r="AC68" t="str">
            <v>Ya</v>
          </cell>
        </row>
        <row r="69">
          <cell r="B69" t="str">
            <v>20436</v>
          </cell>
          <cell r="C69" t="str">
            <v>Khoirul Anam</v>
          </cell>
          <cell r="D69" t="str">
            <v>Ds. Trosobo RT.02 RW. 4 Trosobo-Taman</v>
          </cell>
          <cell r="E69" t="str">
            <v>Sidoarjo</v>
          </cell>
          <cell r="F69"/>
          <cell r="G69" t="str">
            <v>3515130401780003</v>
          </cell>
          <cell r="H69" t="str">
            <v>085707111586</v>
          </cell>
          <cell r="I69">
            <v>44933</v>
          </cell>
          <cell r="J69">
            <v>28581</v>
          </cell>
          <cell r="K69"/>
          <cell r="L69" t="str">
            <v>Islam</v>
          </cell>
          <cell r="M69" t="str">
            <v>Sidoarjo</v>
          </cell>
          <cell r="N69" t="str">
            <v>Produksi</v>
          </cell>
          <cell r="O69" t="str">
            <v>Bulk Packing</v>
          </cell>
          <cell r="P69" t="str">
            <v>Operator</v>
          </cell>
          <cell r="Q69" t="str">
            <v>A3</v>
          </cell>
          <cell r="R69" t="str">
            <v>Grup Shift</v>
          </cell>
          <cell r="S69" t="str">
            <v>Aktif</v>
          </cell>
          <cell r="T69"/>
          <cell r="U69" t="str">
            <v>JP240526</v>
          </cell>
          <cell r="V69" t="str">
            <v>Instant</v>
          </cell>
          <cell r="W69">
            <v>48</v>
          </cell>
          <cell r="X69">
            <v>28</v>
          </cell>
          <cell r="Y69" t="str">
            <v>K/1</v>
          </cell>
          <cell r="Z69">
            <v>3</v>
          </cell>
          <cell r="AA69" t="str">
            <v>Ya</v>
          </cell>
          <cell r="AB69" t="str">
            <v>Ya</v>
          </cell>
          <cell r="AC69" t="str">
            <v>Ya</v>
          </cell>
        </row>
        <row r="70">
          <cell r="B70" t="str">
            <v>20439</v>
          </cell>
          <cell r="C70" t="str">
            <v>Mujiono</v>
          </cell>
          <cell r="D70" t="str">
            <v>Ds. Bendotretek RT.05 RW.01 Bendotretek  Prambon</v>
          </cell>
          <cell r="E70" t="str">
            <v>Sidoarjo</v>
          </cell>
          <cell r="F70"/>
          <cell r="G70" t="str">
            <v>3515020604760003</v>
          </cell>
          <cell r="H70" t="str">
            <v>085 730 116 344</v>
          </cell>
          <cell r="I70">
            <v>44933</v>
          </cell>
          <cell r="J70">
            <v>27915</v>
          </cell>
          <cell r="K70"/>
          <cell r="L70" t="str">
            <v>Islam</v>
          </cell>
          <cell r="M70" t="str">
            <v>Sidoarjo</v>
          </cell>
          <cell r="N70" t="str">
            <v>Produksi</v>
          </cell>
          <cell r="O70" t="str">
            <v>Bulk Packing</v>
          </cell>
          <cell r="P70" t="str">
            <v>Operator</v>
          </cell>
          <cell r="Q70" t="str">
            <v>A3</v>
          </cell>
          <cell r="R70" t="str">
            <v>Grup Shift</v>
          </cell>
          <cell r="S70" t="str">
            <v>Aktif</v>
          </cell>
          <cell r="T70"/>
          <cell r="U70" t="str">
            <v>JP240526</v>
          </cell>
          <cell r="V70" t="str">
            <v>Instant</v>
          </cell>
          <cell r="W70">
            <v>50</v>
          </cell>
          <cell r="X70">
            <v>28</v>
          </cell>
          <cell r="Y70" t="str">
            <v>K/2</v>
          </cell>
          <cell r="Z70">
            <v>3</v>
          </cell>
          <cell r="AA70" t="str">
            <v>Ya</v>
          </cell>
          <cell r="AB70" t="str">
            <v>Ya</v>
          </cell>
          <cell r="AC70" t="str">
            <v>Ya</v>
          </cell>
        </row>
        <row r="71">
          <cell r="B71" t="str">
            <v>20469</v>
          </cell>
          <cell r="C71" t="str">
            <v>Dwi Andhi Soesanto</v>
          </cell>
          <cell r="D71" t="str">
            <v>Jl. Mawar Merah Rt.01/Rw.04 Ds. Kepunten Tulangan</v>
          </cell>
          <cell r="E71" t="str">
            <v>Sidoarjo</v>
          </cell>
          <cell r="F71" t="str">
            <v>031-7872134</v>
          </cell>
          <cell r="G71" t="str">
            <v>3515132711770001</v>
          </cell>
          <cell r="H71" t="str">
            <v>081515295812</v>
          </cell>
          <cell r="I71">
            <v>44933</v>
          </cell>
          <cell r="J71" t="e">
            <v>#VALUE!</v>
          </cell>
          <cell r="K71"/>
          <cell r="L71" t="str">
            <v>Islam</v>
          </cell>
          <cell r="M71" t="str">
            <v>Sidoarjo</v>
          </cell>
          <cell r="N71" t="str">
            <v>Produksi</v>
          </cell>
          <cell r="O71" t="str">
            <v>Bulk Packing</v>
          </cell>
          <cell r="P71" t="str">
            <v>Operator</v>
          </cell>
          <cell r="Q71" t="str">
            <v>A3</v>
          </cell>
          <cell r="R71" t="str">
            <v>Grup Shift</v>
          </cell>
          <cell r="S71" t="str">
            <v>Aktif</v>
          </cell>
          <cell r="T71"/>
          <cell r="U71" t="str">
            <v>JP240526</v>
          </cell>
          <cell r="V71" t="str">
            <v>Instant</v>
          </cell>
          <cell r="W71">
            <v>48</v>
          </cell>
          <cell r="X71">
            <v>28</v>
          </cell>
          <cell r="Y71" t="str">
            <v>K/2</v>
          </cell>
          <cell r="Z71">
            <v>3</v>
          </cell>
          <cell r="AA71" t="str">
            <v>Ya</v>
          </cell>
          <cell r="AB71" t="str">
            <v>Ya</v>
          </cell>
          <cell r="AC71" t="str">
            <v>Ya</v>
          </cell>
        </row>
        <row r="72">
          <cell r="B72" t="str">
            <v>20470</v>
          </cell>
          <cell r="C72" t="str">
            <v>Sugianto</v>
          </cell>
          <cell r="D72" t="str">
            <v>Sekelor Watutulis RT.02 RW.06 Watutulis  Prambon</v>
          </cell>
          <cell r="E72" t="str">
            <v>Sidoarjo</v>
          </cell>
          <cell r="F72"/>
          <cell r="G72" t="str">
            <v>3515022703780006</v>
          </cell>
          <cell r="H72" t="str">
            <v>087851653066,081234152922</v>
          </cell>
          <cell r="I72">
            <v>44933</v>
          </cell>
          <cell r="J72" t="e">
            <v>#VALUE!</v>
          </cell>
          <cell r="K72"/>
          <cell r="L72" t="str">
            <v>Islam</v>
          </cell>
          <cell r="M72" t="str">
            <v>Sidoarjo</v>
          </cell>
          <cell r="N72" t="str">
            <v>Produksi</v>
          </cell>
          <cell r="O72" t="str">
            <v>Bulk Packing</v>
          </cell>
          <cell r="P72" t="str">
            <v>Operator</v>
          </cell>
          <cell r="Q72" t="str">
            <v>A3</v>
          </cell>
          <cell r="R72" t="str">
            <v>Grup Shift</v>
          </cell>
          <cell r="S72" t="str">
            <v>Aktif</v>
          </cell>
          <cell r="T72"/>
          <cell r="U72" t="str">
            <v>SP240526</v>
          </cell>
          <cell r="V72" t="str">
            <v>Instant</v>
          </cell>
          <cell r="W72">
            <v>48</v>
          </cell>
          <cell r="X72">
            <v>28</v>
          </cell>
          <cell r="Y72" t="str">
            <v>K/2</v>
          </cell>
          <cell r="Z72">
            <v>3</v>
          </cell>
          <cell r="AA72" t="str">
            <v>Ya</v>
          </cell>
          <cell r="AB72" t="str">
            <v>Ya</v>
          </cell>
          <cell r="AC72" t="str">
            <v>Ya</v>
          </cell>
        </row>
        <row r="73">
          <cell r="B73" t="str">
            <v>20484</v>
          </cell>
          <cell r="C73" t="str">
            <v>Sumarsaid</v>
          </cell>
          <cell r="D73" t="str">
            <v>Dusun Banar RT.16. RW.8 Kel. Pilang - Kec. Wonoayu</v>
          </cell>
          <cell r="E73" t="str">
            <v>Sidoarjo</v>
          </cell>
          <cell r="F73"/>
          <cell r="G73" t="str">
            <v>3515100404780003</v>
          </cell>
          <cell r="H73" t="str">
            <v>085606459354</v>
          </cell>
          <cell r="I73">
            <v>44933</v>
          </cell>
          <cell r="J73">
            <v>28584</v>
          </cell>
          <cell r="K73"/>
          <cell r="L73" t="str">
            <v>Islam</v>
          </cell>
          <cell r="M73" t="str">
            <v>Sidoarjo</v>
          </cell>
          <cell r="N73" t="str">
            <v>Produksi</v>
          </cell>
          <cell r="O73" t="str">
            <v>Bulk Packing</v>
          </cell>
          <cell r="P73" t="str">
            <v>Operator</v>
          </cell>
          <cell r="Q73" t="str">
            <v>A3</v>
          </cell>
          <cell r="R73" t="str">
            <v>Grup Shift</v>
          </cell>
          <cell r="S73" t="str">
            <v>Aktif</v>
          </cell>
          <cell r="T73"/>
          <cell r="U73" t="str">
            <v>AP240526</v>
          </cell>
          <cell r="V73" t="str">
            <v>Instant</v>
          </cell>
          <cell r="W73">
            <v>48</v>
          </cell>
          <cell r="X73">
            <v>28</v>
          </cell>
          <cell r="Y73" t="str">
            <v>K/3</v>
          </cell>
          <cell r="Z73">
            <v>3</v>
          </cell>
          <cell r="AA73" t="str">
            <v>Ya</v>
          </cell>
          <cell r="AB73" t="str">
            <v>Ya</v>
          </cell>
          <cell r="AC73" t="str">
            <v>Ya</v>
          </cell>
        </row>
        <row r="74">
          <cell r="B74" t="str">
            <v>20749</v>
          </cell>
          <cell r="C74" t="str">
            <v>Soffan Arvianto Sandy</v>
          </cell>
          <cell r="D74" t="str">
            <v>Kemiri Indah B9/4 Rt 18 / Rw 05  Kemiri  Sidoarjo</v>
          </cell>
          <cell r="E74" t="str">
            <v>Sidoarjo</v>
          </cell>
          <cell r="F74"/>
          <cell r="G74" t="str">
            <v>3515082005950009</v>
          </cell>
          <cell r="H74" t="str">
            <v>082146849955</v>
          </cell>
          <cell r="I74">
            <v>44933</v>
          </cell>
          <cell r="J74" t="e">
            <v>#VALUE!</v>
          </cell>
          <cell r="K74"/>
          <cell r="L74" t="str">
            <v>Islam</v>
          </cell>
          <cell r="M74" t="str">
            <v>Sidoarjo</v>
          </cell>
          <cell r="N74" t="str">
            <v>Produksi</v>
          </cell>
          <cell r="O74" t="str">
            <v>Bulk Packing</v>
          </cell>
          <cell r="P74" t="str">
            <v>Operator</v>
          </cell>
          <cell r="Q74" t="str">
            <v>A3</v>
          </cell>
          <cell r="R74" t="str">
            <v>Grup Shift</v>
          </cell>
          <cell r="S74" t="str">
            <v>Aktif</v>
          </cell>
          <cell r="T74"/>
          <cell r="U74" t="str">
            <v>JP240526</v>
          </cell>
          <cell r="V74" t="str">
            <v>Instant</v>
          </cell>
          <cell r="W74">
            <v>31</v>
          </cell>
          <cell r="X74">
            <v>11</v>
          </cell>
          <cell r="Y74" t="str">
            <v>K/1</v>
          </cell>
          <cell r="Z74">
            <v>3</v>
          </cell>
          <cell r="AA74" t="str">
            <v>Ya</v>
          </cell>
          <cell r="AB74" t="str">
            <v>Ya</v>
          </cell>
          <cell r="AC74" t="str">
            <v>Ya</v>
          </cell>
        </row>
        <row r="75">
          <cell r="B75" t="str">
            <v>20770</v>
          </cell>
          <cell r="C75" t="str">
            <v>Heri Setiawan</v>
          </cell>
          <cell r="D75" t="str">
            <v>Mojo klanggru Lor Baru I/4 RT.05 RW.02 Mojo  Gubeng</v>
          </cell>
          <cell r="E75" t="str">
            <v>Surabaya</v>
          </cell>
          <cell r="F75"/>
          <cell r="G75" t="str">
            <v>3578080206870001</v>
          </cell>
          <cell r="H75" t="str">
            <v>0895631835715, 088989341632</v>
          </cell>
          <cell r="I75">
            <v>44933</v>
          </cell>
          <cell r="J75">
            <v>31814</v>
          </cell>
          <cell r="K75"/>
          <cell r="L75" t="str">
            <v>Islam</v>
          </cell>
          <cell r="M75" t="str">
            <v>Sidoarjo</v>
          </cell>
          <cell r="N75" t="str">
            <v>Produksi</v>
          </cell>
          <cell r="O75" t="str">
            <v>Bulk Packing</v>
          </cell>
          <cell r="P75" t="str">
            <v>Operator</v>
          </cell>
          <cell r="Q75" t="str">
            <v>A3</v>
          </cell>
          <cell r="R75" t="str">
            <v>Grup Shift</v>
          </cell>
          <cell r="S75" t="str">
            <v>Aktif</v>
          </cell>
          <cell r="T75"/>
          <cell r="U75" t="str">
            <v>SP240526</v>
          </cell>
          <cell r="V75" t="str">
            <v>Instant</v>
          </cell>
          <cell r="W75">
            <v>39</v>
          </cell>
          <cell r="X75">
            <v>8</v>
          </cell>
          <cell r="Y75" t="str">
            <v>K/1</v>
          </cell>
          <cell r="Z75">
            <v>3</v>
          </cell>
          <cell r="AA75" t="str">
            <v>Ya</v>
          </cell>
          <cell r="AB75" t="str">
            <v>Ya</v>
          </cell>
          <cell r="AC75" t="str">
            <v>Ya</v>
          </cell>
        </row>
        <row r="76">
          <cell r="B76" t="str">
            <v>20174</v>
          </cell>
          <cell r="C76" t="str">
            <v>Ali Masud</v>
          </cell>
          <cell r="D76" t="str">
            <v>Dsn Bareng Rt.04 Rw.02 Sidorejo - Kec. Krian</v>
          </cell>
          <cell r="E76" t="str">
            <v>Sidoarjo</v>
          </cell>
          <cell r="F76"/>
          <cell r="G76" t="str">
            <v>3515113103730001</v>
          </cell>
          <cell r="H76" t="str">
            <v>08976456142, 082131716281</v>
          </cell>
          <cell r="I76">
            <v>44933</v>
          </cell>
          <cell r="J76" t="e">
            <v>#VALUE!</v>
          </cell>
          <cell r="K76"/>
          <cell r="L76" t="str">
            <v>Islam</v>
          </cell>
          <cell r="M76" t="str">
            <v>Sidoarjo</v>
          </cell>
          <cell r="N76" t="str">
            <v>Produksi</v>
          </cell>
          <cell r="O76" t="str">
            <v>Evaporator</v>
          </cell>
          <cell r="P76" t="str">
            <v>Kepala Regu</v>
          </cell>
          <cell r="Q76" t="str">
            <v>B2</v>
          </cell>
          <cell r="R76" t="str">
            <v>Grup Shift</v>
          </cell>
          <cell r="S76" t="str">
            <v>Aktif</v>
          </cell>
          <cell r="T76"/>
          <cell r="U76" t="str">
            <v>JP240526</v>
          </cell>
          <cell r="V76" t="str">
            <v>Instant</v>
          </cell>
          <cell r="W76">
            <v>53</v>
          </cell>
          <cell r="X76">
            <v>29</v>
          </cell>
          <cell r="Y76" t="str">
            <v>K/1</v>
          </cell>
          <cell r="Z76">
            <v>3</v>
          </cell>
          <cell r="AA76" t="str">
            <v>Ya</v>
          </cell>
          <cell r="AB76" t="str">
            <v>Ya</v>
          </cell>
          <cell r="AC76" t="str">
            <v>Ya</v>
          </cell>
        </row>
        <row r="77">
          <cell r="B77" t="str">
            <v>20194</v>
          </cell>
          <cell r="C77" t="str">
            <v>Juantoro</v>
          </cell>
          <cell r="D77" t="str">
            <v>Dsn. Kandangan RT.9 RW.2 Kel. Banjarwungu - Kec. Tarik</v>
          </cell>
          <cell r="E77" t="str">
            <v>Sidoarjo</v>
          </cell>
          <cell r="F77"/>
          <cell r="G77" t="str">
            <v>3515011712760002</v>
          </cell>
          <cell r="H77" t="str">
            <v>085649305700</v>
          </cell>
          <cell r="I77">
            <v>44933</v>
          </cell>
          <cell r="J77" t="e">
            <v>#VALUE!</v>
          </cell>
          <cell r="K77"/>
          <cell r="L77" t="str">
            <v>Islam</v>
          </cell>
          <cell r="M77" t="str">
            <v>Sidoarjo</v>
          </cell>
          <cell r="N77" t="str">
            <v>Produksi</v>
          </cell>
          <cell r="O77" t="str">
            <v>Evaporator</v>
          </cell>
          <cell r="P77" t="str">
            <v>Kepala Regu</v>
          </cell>
          <cell r="Q77" t="str">
            <v>B2</v>
          </cell>
          <cell r="R77" t="str">
            <v>Grup Shift</v>
          </cell>
          <cell r="S77" t="str">
            <v>Aktif</v>
          </cell>
          <cell r="T77"/>
          <cell r="U77" t="str">
            <v>AP240526</v>
          </cell>
          <cell r="V77" t="str">
            <v>Instant</v>
          </cell>
          <cell r="W77">
            <v>49</v>
          </cell>
          <cell r="X77">
            <v>29</v>
          </cell>
          <cell r="Y77" t="str">
            <v>K/1</v>
          </cell>
          <cell r="Z77">
            <v>3</v>
          </cell>
          <cell r="AA77" t="str">
            <v>Ya</v>
          </cell>
          <cell r="AB77" t="str">
            <v>Ya</v>
          </cell>
          <cell r="AC77" t="str">
            <v>Ya</v>
          </cell>
        </row>
        <row r="78">
          <cell r="B78" t="str">
            <v>20354</v>
          </cell>
          <cell r="C78" t="str">
            <v>Abadi Kariono</v>
          </cell>
          <cell r="D78" t="str">
            <v>Dsn Junwangi RT. 02. RW.01 Junwangi -  Krian</v>
          </cell>
          <cell r="E78" t="str">
            <v>Sidoarjo</v>
          </cell>
          <cell r="F78"/>
          <cell r="G78" t="str">
            <v>3515110601750001</v>
          </cell>
          <cell r="H78" t="str">
            <v>081381427775</v>
          </cell>
          <cell r="I78">
            <v>44933</v>
          </cell>
          <cell r="J78">
            <v>27546</v>
          </cell>
          <cell r="K78"/>
          <cell r="L78" t="str">
            <v>Islam</v>
          </cell>
          <cell r="M78" t="str">
            <v>Sidoarjo</v>
          </cell>
          <cell r="N78" t="str">
            <v>Produksi</v>
          </cell>
          <cell r="O78" t="str">
            <v>Evaporator</v>
          </cell>
          <cell r="P78" t="str">
            <v>Kepala Regu</v>
          </cell>
          <cell r="Q78" t="str">
            <v>B2</v>
          </cell>
          <cell r="R78" t="str">
            <v>Grup Shift</v>
          </cell>
          <cell r="S78" t="str">
            <v>Aktif</v>
          </cell>
          <cell r="T78"/>
          <cell r="U78" t="str">
            <v>SP240526</v>
          </cell>
          <cell r="V78" t="str">
            <v>Instant</v>
          </cell>
          <cell r="W78">
            <v>51</v>
          </cell>
          <cell r="X78">
            <v>29</v>
          </cell>
          <cell r="Y78" t="str">
            <v>K/0</v>
          </cell>
          <cell r="Z78">
            <v>3</v>
          </cell>
          <cell r="AA78" t="str">
            <v>Ya</v>
          </cell>
          <cell r="AB78" t="str">
            <v>Ya</v>
          </cell>
          <cell r="AC78" t="str">
            <v>Ya</v>
          </cell>
        </row>
        <row r="79">
          <cell r="B79" t="str">
            <v>20563</v>
          </cell>
          <cell r="C79" t="str">
            <v>Andy Prastyo</v>
          </cell>
          <cell r="D79" t="str">
            <v>Kebonsari 4-B / 18, RT.08 RW.02  Ds. Kebonsari  Jambangan</v>
          </cell>
          <cell r="E79" t="str">
            <v>Surabaya</v>
          </cell>
          <cell r="F79"/>
          <cell r="G79" t="str">
            <v>3578231212760001</v>
          </cell>
          <cell r="H79" t="str">
            <v>081336001242</v>
          </cell>
          <cell r="I79">
            <v>44933</v>
          </cell>
          <cell r="J79">
            <v>28106</v>
          </cell>
          <cell r="K79"/>
          <cell r="L79" t="str">
            <v>Islam</v>
          </cell>
          <cell r="M79" t="str">
            <v>Sidoarjo</v>
          </cell>
          <cell r="N79" t="str">
            <v>Produksi</v>
          </cell>
          <cell r="O79" t="str">
            <v>Evaporator</v>
          </cell>
          <cell r="P79" t="str">
            <v>Kepala Regu</v>
          </cell>
          <cell r="Q79" t="str">
            <v>B2</v>
          </cell>
          <cell r="R79" t="str">
            <v>Grup Shift</v>
          </cell>
          <cell r="S79" t="str">
            <v>Aktif</v>
          </cell>
          <cell r="T79"/>
          <cell r="U79" t="str">
            <v>BP240526</v>
          </cell>
          <cell r="V79" t="str">
            <v>Instant</v>
          </cell>
          <cell r="W79">
            <v>49</v>
          </cell>
          <cell r="X79">
            <v>23</v>
          </cell>
          <cell r="Y79" t="str">
            <v>K/1</v>
          </cell>
          <cell r="Z79">
            <v>3</v>
          </cell>
          <cell r="AA79" t="str">
            <v>Ya</v>
          </cell>
          <cell r="AB79" t="str">
            <v>Ya</v>
          </cell>
          <cell r="AC79" t="str">
            <v>Ya</v>
          </cell>
        </row>
        <row r="80">
          <cell r="B80" t="str">
            <v>20671</v>
          </cell>
          <cell r="C80" t="str">
            <v>Novia Effendi</v>
          </cell>
          <cell r="D80" t="str">
            <v>PERUM GRIYO SAMUDRA ASRI BLOK F15-02 Rt.14 Rw.09 Kramat jegu - Taman</v>
          </cell>
          <cell r="E80" t="str">
            <v>Sidoarjo</v>
          </cell>
          <cell r="F80"/>
          <cell r="G80" t="str">
            <v>3504010311890003</v>
          </cell>
          <cell r="H80" t="str">
            <v>085736757899</v>
          </cell>
          <cell r="I80">
            <v>44933</v>
          </cell>
          <cell r="J80">
            <v>32578</v>
          </cell>
          <cell r="K80"/>
          <cell r="L80" t="str">
            <v>Islam</v>
          </cell>
          <cell r="M80" t="str">
            <v>Sidoarjo</v>
          </cell>
          <cell r="N80" t="str">
            <v>Produksi</v>
          </cell>
          <cell r="O80" t="str">
            <v>Evaporator</v>
          </cell>
          <cell r="P80" t="str">
            <v>Kepala Regu</v>
          </cell>
          <cell r="Q80" t="str">
            <v>B2</v>
          </cell>
          <cell r="R80" t="str">
            <v>Grup Shift</v>
          </cell>
          <cell r="S80" t="str">
            <v>Aktif</v>
          </cell>
          <cell r="T80"/>
          <cell r="U80" t="str">
            <v>BP240526</v>
          </cell>
          <cell r="V80" t="str">
            <v>Instant</v>
          </cell>
          <cell r="W80">
            <v>36</v>
          </cell>
          <cell r="X80">
            <v>15</v>
          </cell>
          <cell r="Y80" t="str">
            <v>K/2</v>
          </cell>
          <cell r="Z80">
            <v>3</v>
          </cell>
          <cell r="AA80" t="str">
            <v>Ya</v>
          </cell>
          <cell r="AB80" t="str">
            <v>Ya</v>
          </cell>
          <cell r="AC80" t="str">
            <v>Ya</v>
          </cell>
        </row>
        <row r="81">
          <cell r="B81" t="str">
            <v>20810</v>
          </cell>
          <cell r="C81" t="str">
            <v>Dendi Ariyanto</v>
          </cell>
          <cell r="D81" t="str">
            <v>Ds. Pekuwon RT.06 RW.03 - Bangsal</v>
          </cell>
          <cell r="E81" t="str">
            <v>Mojokerto</v>
          </cell>
          <cell r="F81"/>
          <cell r="G81" t="str">
            <v>3516100606960001</v>
          </cell>
          <cell r="H81" t="str">
            <v>085606411597</v>
          </cell>
          <cell r="I81">
            <v>44933</v>
          </cell>
          <cell r="J81">
            <v>35222</v>
          </cell>
          <cell r="K81"/>
          <cell r="L81" t="str">
            <v>Islam</v>
          </cell>
          <cell r="M81" t="str">
            <v>Sidoarjo</v>
          </cell>
          <cell r="N81" t="str">
            <v>Produksi</v>
          </cell>
          <cell r="O81" t="str">
            <v>Evaporator</v>
          </cell>
          <cell r="P81" t="str">
            <v>Kepala Regu</v>
          </cell>
          <cell r="Q81" t="str">
            <v>B2</v>
          </cell>
          <cell r="R81" t="str">
            <v>Grup Shift</v>
          </cell>
          <cell r="S81" t="str">
            <v>Aktif</v>
          </cell>
          <cell r="T81"/>
          <cell r="U81" t="str">
            <v>SP240526</v>
          </cell>
          <cell r="V81" t="str">
            <v>Instant</v>
          </cell>
          <cell r="W81">
            <v>30</v>
          </cell>
          <cell r="X81">
            <v>6</v>
          </cell>
          <cell r="Y81" t="str">
            <v>T/0</v>
          </cell>
          <cell r="Z81">
            <v>3</v>
          </cell>
          <cell r="AA81" t="str">
            <v>Ya</v>
          </cell>
          <cell r="AB81" t="str">
            <v>Ya</v>
          </cell>
          <cell r="AC81" t="str">
            <v>Ya</v>
          </cell>
        </row>
        <row r="82">
          <cell r="B82" t="str">
            <v>20823</v>
          </cell>
          <cell r="C82" t="str">
            <v>Aulia Randy Permadi, S.T.</v>
          </cell>
          <cell r="D82" t="str">
            <v>Brigjen Katamso II No.16 Rt.22 Rw.05 Waru</v>
          </cell>
          <cell r="E82" t="str">
            <v>Sidoarjo</v>
          </cell>
          <cell r="F82"/>
          <cell r="G82" t="str">
            <v>3578222402960001</v>
          </cell>
          <cell r="H82" t="str">
            <v>085648947800</v>
          </cell>
          <cell r="I82">
            <v>44933</v>
          </cell>
          <cell r="J82" t="e">
            <v>#VALUE!</v>
          </cell>
          <cell r="K82"/>
          <cell r="L82" t="str">
            <v>Islam</v>
          </cell>
          <cell r="M82" t="str">
            <v>Sidoarjo</v>
          </cell>
          <cell r="N82" t="str">
            <v>Produksi</v>
          </cell>
          <cell r="O82" t="str">
            <v>Evaporator</v>
          </cell>
          <cell r="P82" t="str">
            <v>Kepala Regu</v>
          </cell>
          <cell r="Q82" t="str">
            <v>B2</v>
          </cell>
          <cell r="R82" t="str">
            <v>Grup Shift</v>
          </cell>
          <cell r="S82" t="str">
            <v>Aktif</v>
          </cell>
          <cell r="T82"/>
          <cell r="U82" t="str">
            <v>JP240526</v>
          </cell>
          <cell r="V82" t="str">
            <v>Instant</v>
          </cell>
          <cell r="W82">
            <v>30</v>
          </cell>
          <cell r="X82">
            <v>6</v>
          </cell>
          <cell r="Y82" t="str">
            <v>K/1</v>
          </cell>
          <cell r="Z82">
            <v>3</v>
          </cell>
          <cell r="AA82" t="str">
            <v>Ya</v>
          </cell>
          <cell r="AB82" t="str">
            <v>Ya</v>
          </cell>
          <cell r="AC82" t="str">
            <v>Ya</v>
          </cell>
        </row>
        <row r="83">
          <cell r="B83" t="str">
            <v>20877</v>
          </cell>
          <cell r="C83" t="str">
            <v>Nugraha Dharma Purnama Kasidi</v>
          </cell>
          <cell r="D83" t="str">
            <v>Dusun Segawe Lor Rt.04 Rw.01 Mojowono - Kemlagi</v>
          </cell>
          <cell r="E83" t="str">
            <v>Mojokerto (61353)</v>
          </cell>
          <cell r="F83"/>
          <cell r="G83" t="str">
            <v>3525061604950003</v>
          </cell>
          <cell r="H83" t="str">
            <v>085655932787</v>
          </cell>
          <cell r="I83">
            <v>44933</v>
          </cell>
          <cell r="J83" t="e">
            <v>#VALUE!</v>
          </cell>
          <cell r="K83"/>
          <cell r="L83" t="str">
            <v>Islam</v>
          </cell>
          <cell r="M83" t="str">
            <v>Sidoarjo</v>
          </cell>
          <cell r="N83" t="str">
            <v>Produksi</v>
          </cell>
          <cell r="O83" t="str">
            <v>Evaporator</v>
          </cell>
          <cell r="P83" t="str">
            <v>Kepala Regu</v>
          </cell>
          <cell r="Q83" t="str">
            <v>B2</v>
          </cell>
          <cell r="R83" t="str">
            <v>Grup Shift</v>
          </cell>
          <cell r="S83" t="str">
            <v>Aktif</v>
          </cell>
          <cell r="T83"/>
          <cell r="U83" t="str">
            <v>AP240526</v>
          </cell>
          <cell r="V83" t="str">
            <v>Instant</v>
          </cell>
          <cell r="W83">
            <v>31</v>
          </cell>
          <cell r="X83">
            <v>3</v>
          </cell>
          <cell r="Y83" t="str">
            <v>K/2</v>
          </cell>
          <cell r="Z83">
            <v>3</v>
          </cell>
          <cell r="AA83" t="str">
            <v>Ya</v>
          </cell>
          <cell r="AB83" t="str">
            <v>Ya</v>
          </cell>
          <cell r="AC83" t="str">
            <v>Ya</v>
          </cell>
        </row>
        <row r="84">
          <cell r="B84" t="str">
            <v>20361</v>
          </cell>
          <cell r="C84" t="str">
            <v>Eko Sumarsono</v>
          </cell>
          <cell r="D84" t="str">
            <v>Sidorogo Rt.02 Rw.05 Trosobo Taman</v>
          </cell>
          <cell r="E84" t="str">
            <v>Sidoarjo</v>
          </cell>
          <cell r="F84"/>
          <cell r="G84" t="str">
            <v>3571022604740003</v>
          </cell>
          <cell r="H84" t="str">
            <v>089620748165</v>
          </cell>
          <cell r="I84">
            <v>44933</v>
          </cell>
          <cell r="J84" t="e">
            <v>#VALUE!</v>
          </cell>
          <cell r="K84"/>
          <cell r="L84" t="str">
            <v>Islam</v>
          </cell>
          <cell r="M84" t="str">
            <v>Sidoarjo</v>
          </cell>
          <cell r="N84" t="str">
            <v>Produksi</v>
          </cell>
          <cell r="O84" t="str">
            <v>Evaporator</v>
          </cell>
          <cell r="P84" t="str">
            <v>Operator</v>
          </cell>
          <cell r="Q84" t="str">
            <v>B1</v>
          </cell>
          <cell r="R84" t="str">
            <v>Grup Shift</v>
          </cell>
          <cell r="S84" t="str">
            <v>Aktif</v>
          </cell>
          <cell r="T84"/>
          <cell r="U84" t="str">
            <v>JP240526</v>
          </cell>
          <cell r="V84" t="str">
            <v>Instant</v>
          </cell>
          <cell r="W84">
            <v>52</v>
          </cell>
          <cell r="X84">
            <v>29</v>
          </cell>
          <cell r="Y84" t="str">
            <v>K/2</v>
          </cell>
          <cell r="Z84">
            <v>3</v>
          </cell>
          <cell r="AA84" t="str">
            <v>Ya</v>
          </cell>
          <cell r="AB84" t="str">
            <v>Ya</v>
          </cell>
          <cell r="AC84" t="str">
            <v>Ya</v>
          </cell>
        </row>
        <row r="85">
          <cell r="B85" t="str">
            <v>20595</v>
          </cell>
          <cell r="C85" t="str">
            <v>Dwito Adi Priyambodo</v>
          </cell>
          <cell r="D85" t="str">
            <v>Jln. KH. Thohir Sholeh No. 393 Rt.03 Rw.02 Jeruk gamping Krian</v>
          </cell>
          <cell r="E85" t="str">
            <v>Sidoarjo</v>
          </cell>
          <cell r="F85"/>
          <cell r="G85" t="str">
            <v>3515110709830002</v>
          </cell>
          <cell r="H85" t="str">
            <v>085730722690</v>
          </cell>
          <cell r="I85">
            <v>44933</v>
          </cell>
          <cell r="J85">
            <v>30506</v>
          </cell>
          <cell r="K85"/>
          <cell r="L85" t="str">
            <v>Islam</v>
          </cell>
          <cell r="M85" t="str">
            <v>Sidoarjo</v>
          </cell>
          <cell r="N85" t="str">
            <v>Produksi</v>
          </cell>
          <cell r="O85" t="str">
            <v>Evaporator</v>
          </cell>
          <cell r="P85" t="str">
            <v>Operator</v>
          </cell>
          <cell r="Q85" t="str">
            <v>B1</v>
          </cell>
          <cell r="R85" t="str">
            <v>Grup Shift</v>
          </cell>
          <cell r="S85" t="str">
            <v>Aktif</v>
          </cell>
          <cell r="T85"/>
          <cell r="U85" t="str">
            <v>AP240526</v>
          </cell>
          <cell r="V85" t="str">
            <v>Instant</v>
          </cell>
          <cell r="W85">
            <v>42</v>
          </cell>
          <cell r="X85">
            <v>21</v>
          </cell>
          <cell r="Y85" t="str">
            <v>K/2</v>
          </cell>
          <cell r="Z85">
            <v>3</v>
          </cell>
          <cell r="AA85" t="str">
            <v>Ya</v>
          </cell>
          <cell r="AB85" t="str">
            <v>Ya</v>
          </cell>
          <cell r="AC85" t="str">
            <v>Ya</v>
          </cell>
        </row>
        <row r="86">
          <cell r="B86" t="str">
            <v>20642</v>
          </cell>
          <cell r="C86" t="str">
            <v>Mochamad Dadan Taufik</v>
          </cell>
          <cell r="D86" t="str">
            <v>Jl. Lemahputro Gg. Keluarga No.84 Rt.05 Rw.01 Lemahpuro, Sidoarjo</v>
          </cell>
          <cell r="E86" t="str">
            <v>Sidoarjo</v>
          </cell>
          <cell r="F86"/>
          <cell r="G86" t="str">
            <v>3515080308780010</v>
          </cell>
          <cell r="H86" t="str">
            <v>081339104942</v>
          </cell>
          <cell r="I86">
            <v>44933</v>
          </cell>
          <cell r="J86">
            <v>28557</v>
          </cell>
          <cell r="K86"/>
          <cell r="L86" t="str">
            <v>Islam</v>
          </cell>
          <cell r="M86" t="str">
            <v>Sidoarjo</v>
          </cell>
          <cell r="N86" t="str">
            <v>Produksi</v>
          </cell>
          <cell r="O86" t="str">
            <v>Evaporator</v>
          </cell>
          <cell r="P86" t="str">
            <v>Operator</v>
          </cell>
          <cell r="Q86" t="str">
            <v>B1</v>
          </cell>
          <cell r="R86" t="str">
            <v>Grup Shift</v>
          </cell>
          <cell r="S86" t="str">
            <v>Aktif</v>
          </cell>
          <cell r="T86"/>
          <cell r="U86" t="str">
            <v>SP240526</v>
          </cell>
          <cell r="V86" t="str">
            <v>Instant</v>
          </cell>
          <cell r="W86">
            <v>47</v>
          </cell>
          <cell r="X86">
            <v>18</v>
          </cell>
          <cell r="Y86" t="str">
            <v>K/1</v>
          </cell>
          <cell r="Z86">
            <v>3</v>
          </cell>
          <cell r="AA86" t="str">
            <v>Ya</v>
          </cell>
          <cell r="AB86" t="str">
            <v>Ya</v>
          </cell>
          <cell r="AC86" t="str">
            <v>Ya</v>
          </cell>
        </row>
        <row r="87">
          <cell r="B87" t="str">
            <v>20771</v>
          </cell>
          <cell r="C87" t="str">
            <v>Ruseno Rachmat, SE</v>
          </cell>
          <cell r="D87" t="str">
            <v>Perumdam Rt. 26 Rw.07 Ds. Barengkrajan, Krian</v>
          </cell>
          <cell r="E87" t="str">
            <v>Sidoarjo</v>
          </cell>
          <cell r="F87"/>
          <cell r="G87" t="str">
            <v>3515110401890002</v>
          </cell>
          <cell r="H87" t="str">
            <v>085732328966, .083845060901</v>
          </cell>
          <cell r="I87">
            <v>44933</v>
          </cell>
          <cell r="J87">
            <v>32599</v>
          </cell>
          <cell r="K87"/>
          <cell r="L87" t="str">
            <v>Islam</v>
          </cell>
          <cell r="M87" t="str">
            <v>Sidoarjo</v>
          </cell>
          <cell r="N87" t="str">
            <v>Produksi</v>
          </cell>
          <cell r="O87" t="str">
            <v>Evaporator</v>
          </cell>
          <cell r="P87" t="str">
            <v>Operator</v>
          </cell>
          <cell r="Q87" t="str">
            <v>B1</v>
          </cell>
          <cell r="R87" t="str">
            <v>Grup Shift</v>
          </cell>
          <cell r="S87" t="str">
            <v>Aktif</v>
          </cell>
          <cell r="T87"/>
          <cell r="U87" t="str">
            <v>JP240526</v>
          </cell>
          <cell r="V87" t="str">
            <v>Instant</v>
          </cell>
          <cell r="W87">
            <v>37</v>
          </cell>
          <cell r="X87">
            <v>7</v>
          </cell>
          <cell r="Y87" t="str">
            <v>K/2</v>
          </cell>
          <cell r="Z87">
            <v>3</v>
          </cell>
          <cell r="AA87" t="str">
            <v>Ya</v>
          </cell>
          <cell r="AB87" t="str">
            <v>Ya</v>
          </cell>
          <cell r="AC87" t="str">
            <v>Ya</v>
          </cell>
        </row>
        <row r="88">
          <cell r="B88" t="str">
            <v>20772</v>
          </cell>
          <cell r="C88" t="str">
            <v>Yogi Fardian, S.Pd</v>
          </cell>
          <cell r="D88" t="str">
            <v>Dusun. Cikaran RT.05 RW.03 Ds. Pesanggrahan - Gudo</v>
          </cell>
          <cell r="E88" t="str">
            <v>Jombang</v>
          </cell>
          <cell r="F88"/>
          <cell r="G88" t="str">
            <v>3517021505900001</v>
          </cell>
          <cell r="H88" t="str">
            <v>081388476127</v>
          </cell>
          <cell r="I88">
            <v>44933</v>
          </cell>
          <cell r="J88" t="e">
            <v>#VALUE!</v>
          </cell>
          <cell r="K88"/>
          <cell r="L88" t="str">
            <v>Islam</v>
          </cell>
          <cell r="M88" t="str">
            <v>Sidoarjo</v>
          </cell>
          <cell r="N88" t="str">
            <v>Produksi</v>
          </cell>
          <cell r="O88" t="str">
            <v>Evaporator</v>
          </cell>
          <cell r="P88" t="str">
            <v>Operator</v>
          </cell>
          <cell r="Q88" t="str">
            <v>B1</v>
          </cell>
          <cell r="R88" t="str">
            <v>Grup Shift</v>
          </cell>
          <cell r="S88" t="str">
            <v>Aktif</v>
          </cell>
          <cell r="T88"/>
          <cell r="U88" t="str">
            <v>AP240526</v>
          </cell>
          <cell r="V88" t="str">
            <v>Instant</v>
          </cell>
          <cell r="W88">
            <v>36</v>
          </cell>
          <cell r="X88">
            <v>7</v>
          </cell>
          <cell r="Y88" t="str">
            <v>K/1</v>
          </cell>
          <cell r="Z88">
            <v>3</v>
          </cell>
          <cell r="AA88" t="str">
            <v>Ya</v>
          </cell>
          <cell r="AB88" t="str">
            <v>Ya</v>
          </cell>
          <cell r="AC88" t="str">
            <v>Ya</v>
          </cell>
        </row>
        <row r="89">
          <cell r="B89" t="str">
            <v>20785</v>
          </cell>
          <cell r="C89" t="str">
            <v>Muchammad Abdul Hadi Hidayatulah</v>
          </cell>
          <cell r="D89" t="str">
            <v>Pademonegoro RT.08 RW.02 Pademonegoro  Sukodono</v>
          </cell>
          <cell r="E89" t="str">
            <v>Sidoarjo</v>
          </cell>
          <cell r="F89"/>
          <cell r="G89" t="str">
            <v>3515132706950001</v>
          </cell>
          <cell r="H89" t="str">
            <v>085257404779, 082257254795</v>
          </cell>
          <cell r="I89">
            <v>44933</v>
          </cell>
          <cell r="J89" t="e">
            <v>#VALUE!</v>
          </cell>
          <cell r="K89"/>
          <cell r="L89" t="str">
            <v>Islam</v>
          </cell>
          <cell r="M89" t="str">
            <v>Sidoarjo</v>
          </cell>
          <cell r="N89" t="str">
            <v>Produksi</v>
          </cell>
          <cell r="O89" t="str">
            <v>Evaporator</v>
          </cell>
          <cell r="P89" t="str">
            <v>Operator</v>
          </cell>
          <cell r="Q89" t="str">
            <v>B1</v>
          </cell>
          <cell r="R89" t="str">
            <v>Grup Shift</v>
          </cell>
          <cell r="S89" t="str">
            <v>Aktif</v>
          </cell>
          <cell r="T89"/>
          <cell r="U89" t="str">
            <v>BP240526</v>
          </cell>
          <cell r="V89" t="str">
            <v>Instant</v>
          </cell>
          <cell r="W89">
            <v>31</v>
          </cell>
          <cell r="X89">
            <v>6</v>
          </cell>
          <cell r="Y89" t="str">
            <v>K/0</v>
          </cell>
          <cell r="Z89">
            <v>3</v>
          </cell>
          <cell r="AA89" t="str">
            <v>Ya</v>
          </cell>
          <cell r="AB89" t="str">
            <v>Ya</v>
          </cell>
          <cell r="AC89" t="str">
            <v>Ya</v>
          </cell>
        </row>
        <row r="90">
          <cell r="B90" t="str">
            <v>20794</v>
          </cell>
          <cell r="C90" t="str">
            <v>Sofyar Awaludin</v>
          </cell>
          <cell r="D90" t="str">
            <v>Dsn. Jatisari Rt.05 Rw.01 Ds. Watesari Balongbendo</v>
          </cell>
          <cell r="E90" t="str">
            <v>Sidoarjo</v>
          </cell>
          <cell r="F90"/>
          <cell r="G90" t="str">
            <v>3515122107960002</v>
          </cell>
          <cell r="H90" t="str">
            <v>085604445211</v>
          </cell>
          <cell r="I90">
            <v>44933</v>
          </cell>
          <cell r="J90" t="e">
            <v>#VALUE!</v>
          </cell>
          <cell r="K90"/>
          <cell r="L90" t="str">
            <v>Islam</v>
          </cell>
          <cell r="M90" t="str">
            <v>Sidoarjo</v>
          </cell>
          <cell r="N90" t="str">
            <v>Produksi</v>
          </cell>
          <cell r="O90" t="str">
            <v>Evaporator</v>
          </cell>
          <cell r="P90" t="str">
            <v>Operator</v>
          </cell>
          <cell r="Q90" t="str">
            <v>B1</v>
          </cell>
          <cell r="R90" t="str">
            <v>Grup Shift</v>
          </cell>
          <cell r="S90" t="str">
            <v>Aktif</v>
          </cell>
          <cell r="T90"/>
          <cell r="U90" t="str">
            <v>AP240526</v>
          </cell>
          <cell r="V90" t="str">
            <v>Instant</v>
          </cell>
          <cell r="W90">
            <v>30</v>
          </cell>
          <cell r="X90">
            <v>6</v>
          </cell>
          <cell r="Y90" t="str">
            <v>K/1</v>
          </cell>
          <cell r="Z90">
            <v>3</v>
          </cell>
          <cell r="AA90" t="str">
            <v>Ya</v>
          </cell>
          <cell r="AB90" t="str">
            <v>Ya</v>
          </cell>
          <cell r="AC90" t="str">
            <v>Ya</v>
          </cell>
        </row>
        <row r="91">
          <cell r="B91" t="str">
            <v>20855</v>
          </cell>
          <cell r="C91" t="str">
            <v>Erix Setiawan</v>
          </cell>
          <cell r="D91" t="str">
            <v>Kedunganyar RT.13 RW.05 Kedunganyar - Wringinanom</v>
          </cell>
          <cell r="E91" t="str">
            <v>Gresik (61176)</v>
          </cell>
          <cell r="F91"/>
          <cell r="G91" t="str">
            <v>3525062808900003</v>
          </cell>
          <cell r="H91" t="str">
            <v>082233733150</v>
          </cell>
          <cell r="I91">
            <v>44933</v>
          </cell>
          <cell r="J91" t="e">
            <v>#VALUE!</v>
          </cell>
          <cell r="K91"/>
          <cell r="L91" t="str">
            <v>Islam</v>
          </cell>
          <cell r="M91" t="str">
            <v>Sidoarjo</v>
          </cell>
          <cell r="N91" t="str">
            <v>Produksi</v>
          </cell>
          <cell r="O91" t="str">
            <v>Evaporator</v>
          </cell>
          <cell r="P91" t="str">
            <v>Operator</v>
          </cell>
          <cell r="Q91" t="str">
            <v>A1</v>
          </cell>
          <cell r="R91" t="str">
            <v>Grup Shift</v>
          </cell>
          <cell r="S91" t="str">
            <v>Aktif</v>
          </cell>
          <cell r="T91"/>
          <cell r="U91" t="str">
            <v>BP240526</v>
          </cell>
          <cell r="V91" t="str">
            <v>Instant</v>
          </cell>
          <cell r="W91">
            <v>35</v>
          </cell>
          <cell r="X91">
            <v>3</v>
          </cell>
          <cell r="Y91" t="str">
            <v>K/3</v>
          </cell>
          <cell r="Z91">
            <v>3</v>
          </cell>
          <cell r="AA91" t="str">
            <v>Ya</v>
          </cell>
          <cell r="AB91" t="str">
            <v>Ya</v>
          </cell>
          <cell r="AC91" t="str">
            <v>Ya</v>
          </cell>
        </row>
        <row r="92">
          <cell r="B92" t="str">
            <v>20860</v>
          </cell>
          <cell r="C92" t="str">
            <v>Dhody Mega Setiawan</v>
          </cell>
          <cell r="D92" t="str">
            <v>Jl. Rungkut Menanggal II D KV. II No 7 RT.05 RW.02 Rungkut Menanggal - Gunung Anyar</v>
          </cell>
          <cell r="E92" t="str">
            <v>Surabaya</v>
          </cell>
          <cell r="F92"/>
          <cell r="G92" t="str">
            <v>3523172706940001</v>
          </cell>
          <cell r="H92" t="str">
            <v>081238622226</v>
          </cell>
          <cell r="I92">
            <v>44933</v>
          </cell>
          <cell r="J92" t="e">
            <v>#VALUE!</v>
          </cell>
          <cell r="K92"/>
          <cell r="L92" t="str">
            <v>Islam</v>
          </cell>
          <cell r="M92" t="str">
            <v>Sidoarjo</v>
          </cell>
          <cell r="N92" t="str">
            <v>Produksi</v>
          </cell>
          <cell r="O92" t="str">
            <v>Evaporator</v>
          </cell>
          <cell r="P92" t="str">
            <v>Operator</v>
          </cell>
          <cell r="Q92" t="str">
            <v>A1</v>
          </cell>
          <cell r="R92" t="str">
            <v>Grup Shift</v>
          </cell>
          <cell r="S92" t="str">
            <v>Aktif</v>
          </cell>
          <cell r="T92"/>
          <cell r="U92" t="str">
            <v>SP240526</v>
          </cell>
          <cell r="V92" t="str">
            <v>Instant</v>
          </cell>
          <cell r="W92">
            <v>32</v>
          </cell>
          <cell r="X92">
            <v>3</v>
          </cell>
          <cell r="Y92" t="str">
            <v>K/1</v>
          </cell>
          <cell r="Z92">
            <v>3</v>
          </cell>
          <cell r="AA92" t="str">
            <v>Ya</v>
          </cell>
          <cell r="AB92" t="str">
            <v>Ya</v>
          </cell>
          <cell r="AC92" t="str">
            <v>Ya</v>
          </cell>
        </row>
        <row r="93">
          <cell r="B93" t="str">
            <v>20864</v>
          </cell>
          <cell r="C93" t="str">
            <v>Muhammad Taufiqur Rahman</v>
          </cell>
          <cell r="D93" t="str">
            <v>Ngengor RT.08 RW.02 Ngarjo - Mojoanyar</v>
          </cell>
          <cell r="E93" t="str">
            <v>Mojokerto (61364)</v>
          </cell>
          <cell r="F93"/>
          <cell r="G93" t="str">
            <v>3516182302000003</v>
          </cell>
          <cell r="H93" t="str">
            <v>085604038736</v>
          </cell>
          <cell r="I93">
            <v>44933</v>
          </cell>
          <cell r="J93" t="e">
            <v>#VALUE!</v>
          </cell>
          <cell r="K93"/>
          <cell r="L93" t="str">
            <v>Islam</v>
          </cell>
          <cell r="M93" t="str">
            <v>Sidoarjo</v>
          </cell>
          <cell r="N93" t="str">
            <v>Produksi</v>
          </cell>
          <cell r="O93" t="str">
            <v>Evaporator</v>
          </cell>
          <cell r="P93" t="str">
            <v>Operator</v>
          </cell>
          <cell r="Q93" t="str">
            <v>A1</v>
          </cell>
          <cell r="R93" t="str">
            <v>Grup Shift</v>
          </cell>
          <cell r="S93" t="str">
            <v>Aktif</v>
          </cell>
          <cell r="T93"/>
          <cell r="U93" t="str">
            <v>JP240526</v>
          </cell>
          <cell r="V93" t="str">
            <v>Instant</v>
          </cell>
          <cell r="W93">
            <v>26</v>
          </cell>
          <cell r="X93">
            <v>3</v>
          </cell>
          <cell r="Y93" t="str">
            <v>K/0</v>
          </cell>
          <cell r="Z93">
            <v>3</v>
          </cell>
          <cell r="AA93" t="str">
            <v>Ya</v>
          </cell>
          <cell r="AB93" t="str">
            <v>Ya</v>
          </cell>
          <cell r="AC93" t="str">
            <v>Ya</v>
          </cell>
        </row>
        <row r="94">
          <cell r="B94" t="str">
            <v>20867</v>
          </cell>
          <cell r="C94" t="str">
            <v>Alif Al Haqqu Nanda</v>
          </cell>
          <cell r="D94" t="str">
            <v>Raya Lidah Wetan no.8</v>
          </cell>
          <cell r="E94" t="str">
            <v>Surabaya</v>
          </cell>
          <cell r="F94"/>
          <cell r="G94" t="str">
            <v>3517080607950007</v>
          </cell>
          <cell r="H94" t="str">
            <v>089642470816</v>
          </cell>
          <cell r="I94">
            <v>44933</v>
          </cell>
          <cell r="J94">
            <v>34857</v>
          </cell>
          <cell r="K94"/>
          <cell r="L94" t="str">
            <v>Islam</v>
          </cell>
          <cell r="M94" t="str">
            <v>Sidoarjo</v>
          </cell>
          <cell r="N94" t="str">
            <v>Produksi</v>
          </cell>
          <cell r="O94" t="str">
            <v>Evaporator</v>
          </cell>
          <cell r="P94" t="str">
            <v>Operator</v>
          </cell>
          <cell r="Q94" t="str">
            <v>A1</v>
          </cell>
          <cell r="R94" t="str">
            <v>Grup Shift</v>
          </cell>
          <cell r="S94" t="str">
            <v>Aktif</v>
          </cell>
          <cell r="T94"/>
          <cell r="U94" t="str">
            <v>SP240526</v>
          </cell>
          <cell r="V94" t="str">
            <v>Instant</v>
          </cell>
          <cell r="W94">
            <v>31</v>
          </cell>
          <cell r="X94">
            <v>3</v>
          </cell>
          <cell r="Y94" t="str">
            <v>T/0</v>
          </cell>
          <cell r="Z94">
            <v>3</v>
          </cell>
          <cell r="AA94" t="str">
            <v>Ya</v>
          </cell>
          <cell r="AB94" t="str">
            <v>Ya</v>
          </cell>
          <cell r="AC94" t="str">
            <v>Ya</v>
          </cell>
        </row>
        <row r="95">
          <cell r="B95" t="str">
            <v>20220</v>
          </cell>
          <cell r="C95" t="str">
            <v>Very Andhi Widyono</v>
          </cell>
          <cell r="D95" t="str">
            <v>Wadung RT.7 RW.2 Kel, Kedunganyar - Kec. Wringinanom</v>
          </cell>
          <cell r="E95" t="str">
            <v>Gresik</v>
          </cell>
          <cell r="F95"/>
          <cell r="G95" t="str">
            <v>3525061802740006</v>
          </cell>
          <cell r="H95" t="str">
            <v>085732323774</v>
          </cell>
          <cell r="I95">
            <v>44933</v>
          </cell>
          <cell r="J95" t="e">
            <v>#VALUE!</v>
          </cell>
          <cell r="K95"/>
          <cell r="L95" t="str">
            <v>Islam</v>
          </cell>
          <cell r="M95" t="str">
            <v>Sidoarjo</v>
          </cell>
          <cell r="N95" t="str">
            <v>Produksi</v>
          </cell>
          <cell r="O95" t="str">
            <v>Extractor</v>
          </cell>
          <cell r="P95" t="str">
            <v>Kepala Regu</v>
          </cell>
          <cell r="Q95" t="str">
            <v>B2</v>
          </cell>
          <cell r="R95" t="str">
            <v>Grup Shift</v>
          </cell>
          <cell r="S95" t="str">
            <v>Aktif</v>
          </cell>
          <cell r="T95"/>
          <cell r="U95" t="str">
            <v>AP240526</v>
          </cell>
          <cell r="V95" t="str">
            <v>Instant</v>
          </cell>
          <cell r="W95">
            <v>52</v>
          </cell>
          <cell r="X95">
            <v>29</v>
          </cell>
          <cell r="Y95" t="str">
            <v>K/2</v>
          </cell>
          <cell r="Z95">
            <v>3</v>
          </cell>
          <cell r="AA95" t="str">
            <v>Ya</v>
          </cell>
          <cell r="AB95" t="str">
            <v>Ya</v>
          </cell>
          <cell r="AC95" t="str">
            <v>Ya</v>
          </cell>
        </row>
        <row r="96">
          <cell r="B96" t="str">
            <v>20300</v>
          </cell>
          <cell r="C96" t="str">
            <v>Arik Soentari</v>
          </cell>
          <cell r="D96" t="str">
            <v>Ds.Pasinan Rt.14 Rw.03 Pasinan Lemah Putih - Wringinanom</v>
          </cell>
          <cell r="E96" t="str">
            <v>Gresik</v>
          </cell>
          <cell r="F96"/>
          <cell r="G96" t="str">
            <v>3525061602700001</v>
          </cell>
          <cell r="H96" t="str">
            <v>081515456150, 0895379521070</v>
          </cell>
          <cell r="I96">
            <v>44933</v>
          </cell>
          <cell r="J96" t="e">
            <v>#VALUE!</v>
          </cell>
          <cell r="K96"/>
          <cell r="L96" t="str">
            <v>Islam</v>
          </cell>
          <cell r="M96" t="str">
            <v>Sidoarjo</v>
          </cell>
          <cell r="N96" t="str">
            <v>Produksi</v>
          </cell>
          <cell r="O96" t="str">
            <v>Extractor</v>
          </cell>
          <cell r="P96" t="str">
            <v>Kepala Regu</v>
          </cell>
          <cell r="Q96" t="str">
            <v>B2</v>
          </cell>
          <cell r="R96" t="str">
            <v>Grup Shift</v>
          </cell>
          <cell r="S96" t="str">
            <v>Aktif</v>
          </cell>
          <cell r="T96"/>
          <cell r="U96" t="str">
            <v>SP240526</v>
          </cell>
          <cell r="V96" t="str">
            <v>Instant</v>
          </cell>
          <cell r="W96">
            <v>56</v>
          </cell>
          <cell r="X96">
            <v>29</v>
          </cell>
          <cell r="Y96" t="str">
            <v>K/1</v>
          </cell>
          <cell r="Z96">
            <v>3</v>
          </cell>
          <cell r="AA96" t="str">
            <v>Ya</v>
          </cell>
          <cell r="AB96" t="str">
            <v>Ya</v>
          </cell>
          <cell r="AC96" t="str">
            <v>Ya</v>
          </cell>
        </row>
        <row r="97">
          <cell r="B97" t="str">
            <v>20572</v>
          </cell>
          <cell r="C97" t="str">
            <v>Ahmad Kolil</v>
          </cell>
          <cell r="D97" t="str">
            <v>Dsn. Selorejo RT.16 RW.3 Kel. Sadartengah - Kec. Mojoanyar</v>
          </cell>
          <cell r="E97" t="str">
            <v>Mojokerto</v>
          </cell>
          <cell r="F97"/>
          <cell r="G97" t="str">
            <v>3516182112820001</v>
          </cell>
          <cell r="H97" t="str">
            <v>085707780387</v>
          </cell>
          <cell r="I97">
            <v>44933</v>
          </cell>
          <cell r="J97" t="e">
            <v>#VALUE!</v>
          </cell>
          <cell r="K97"/>
          <cell r="L97" t="str">
            <v>Islam</v>
          </cell>
          <cell r="M97" t="str">
            <v>Sidoarjo</v>
          </cell>
          <cell r="N97" t="str">
            <v>Produksi</v>
          </cell>
          <cell r="O97" t="str">
            <v>Extractor</v>
          </cell>
          <cell r="P97" t="str">
            <v>Kepala Regu</v>
          </cell>
          <cell r="Q97" t="str">
            <v>B2</v>
          </cell>
          <cell r="R97" t="str">
            <v>Grup Shift</v>
          </cell>
          <cell r="S97" t="str">
            <v>Aktif</v>
          </cell>
          <cell r="T97"/>
          <cell r="U97" t="str">
            <v>JP240526</v>
          </cell>
          <cell r="V97" t="str">
            <v>Instant</v>
          </cell>
          <cell r="W97">
            <v>43</v>
          </cell>
          <cell r="X97">
            <v>22</v>
          </cell>
          <cell r="Y97" t="str">
            <v>K/2</v>
          </cell>
          <cell r="Z97">
            <v>3</v>
          </cell>
          <cell r="AA97" t="str">
            <v>Ya</v>
          </cell>
          <cell r="AB97" t="str">
            <v>Ya</v>
          </cell>
          <cell r="AC97" t="str">
            <v>Ya</v>
          </cell>
        </row>
        <row r="98">
          <cell r="B98" t="str">
            <v>20769</v>
          </cell>
          <cell r="C98" t="str">
            <v>Rudy Andriansyah</v>
          </cell>
          <cell r="D98" t="str">
            <v>Balongbiru RT.08 RW.03 Sadang  Taman</v>
          </cell>
          <cell r="E98" t="str">
            <v>Sidoarjo</v>
          </cell>
          <cell r="F98"/>
          <cell r="G98" t="str">
            <v>3515130503930003</v>
          </cell>
          <cell r="H98" t="str">
            <v>089637520245</v>
          </cell>
          <cell r="I98">
            <v>44933</v>
          </cell>
          <cell r="J98" t="e">
            <v>#VALUE!</v>
          </cell>
          <cell r="K98"/>
          <cell r="L98" t="str">
            <v>Islam</v>
          </cell>
          <cell r="M98" t="str">
            <v>Sidoarjo</v>
          </cell>
          <cell r="N98" t="str">
            <v>Produksi</v>
          </cell>
          <cell r="O98" t="str">
            <v>Extractor</v>
          </cell>
          <cell r="P98" t="str">
            <v>Kepala Regu</v>
          </cell>
          <cell r="Q98" t="str">
            <v>B2</v>
          </cell>
          <cell r="R98" t="str">
            <v>Grup Shift</v>
          </cell>
          <cell r="S98" t="str">
            <v>Aktif</v>
          </cell>
          <cell r="T98"/>
          <cell r="U98" t="str">
            <v>SP240526</v>
          </cell>
          <cell r="V98" t="str">
            <v>Instant</v>
          </cell>
          <cell r="W98">
            <v>33</v>
          </cell>
          <cell r="X98">
            <v>8</v>
          </cell>
          <cell r="Y98" t="str">
            <v>K/1</v>
          </cell>
          <cell r="Z98">
            <v>3</v>
          </cell>
          <cell r="AA98" t="str">
            <v>Ya</v>
          </cell>
          <cell r="AB98" t="str">
            <v>Ya</v>
          </cell>
          <cell r="AC98" t="str">
            <v>Ya</v>
          </cell>
        </row>
        <row r="99">
          <cell r="B99" t="str">
            <v>20853</v>
          </cell>
          <cell r="C99" t="str">
            <v>Gusti Ilman Akbar</v>
          </cell>
          <cell r="D99" t="str">
            <v>Dsn. Sidorogo RT.01 RW.06 Trosobo - Taman</v>
          </cell>
          <cell r="E99" t="str">
            <v>Sidoarjo</v>
          </cell>
          <cell r="F99"/>
          <cell r="G99" t="str">
            <v>3515130206970002</v>
          </cell>
          <cell r="H99" t="str">
            <v>0881027212937</v>
          </cell>
          <cell r="I99">
            <v>44933</v>
          </cell>
          <cell r="J99">
            <v>35467</v>
          </cell>
          <cell r="K99"/>
          <cell r="L99" t="str">
            <v>Islam</v>
          </cell>
          <cell r="M99" t="str">
            <v>Sidoarjo</v>
          </cell>
          <cell r="N99" t="str">
            <v>Produksi</v>
          </cell>
          <cell r="O99" t="str">
            <v>Extractor</v>
          </cell>
          <cell r="P99" t="str">
            <v>Kepala Regu</v>
          </cell>
          <cell r="Q99" t="str">
            <v>B2</v>
          </cell>
          <cell r="R99" t="str">
            <v>Grup Shift</v>
          </cell>
          <cell r="S99" t="str">
            <v>Aktif</v>
          </cell>
          <cell r="T99"/>
          <cell r="U99" t="str">
            <v>BP240526</v>
          </cell>
          <cell r="V99" t="str">
            <v>Instant</v>
          </cell>
          <cell r="W99">
            <v>29</v>
          </cell>
          <cell r="X99">
            <v>3</v>
          </cell>
          <cell r="Y99" t="str">
            <v>T/0</v>
          </cell>
          <cell r="Z99">
            <v>3</v>
          </cell>
          <cell r="AA99" t="str">
            <v>Ya</v>
          </cell>
          <cell r="AB99" t="str">
            <v>Ya</v>
          </cell>
          <cell r="AC99" t="str">
            <v>Ya</v>
          </cell>
        </row>
        <row r="100">
          <cell r="B100" t="str">
            <v>20859</v>
          </cell>
          <cell r="C100" t="str">
            <v>Akhmad Zulfikar Landayan</v>
          </cell>
          <cell r="D100" t="str">
            <v>Dsn. Wadung RT.07 RW.02 Ds. Kedunganyar - Wringinanom</v>
          </cell>
          <cell r="E100" t="str">
            <v>Gresik</v>
          </cell>
          <cell r="F100"/>
          <cell r="G100" t="str">
            <v>3525061207920001</v>
          </cell>
          <cell r="H100" t="str">
            <v>081249035855</v>
          </cell>
          <cell r="I100">
            <v>44933</v>
          </cell>
          <cell r="J100">
            <v>33945</v>
          </cell>
          <cell r="K100"/>
          <cell r="L100" t="str">
            <v>Islam</v>
          </cell>
          <cell r="M100" t="str">
            <v>Sidoarjo</v>
          </cell>
          <cell r="N100" t="str">
            <v>Produksi</v>
          </cell>
          <cell r="O100" t="str">
            <v>Extractor</v>
          </cell>
          <cell r="P100" t="str">
            <v>Kepala Regu</v>
          </cell>
          <cell r="Q100" t="str">
            <v>B2</v>
          </cell>
          <cell r="R100" t="str">
            <v>Grup Shift</v>
          </cell>
          <cell r="S100" t="str">
            <v>Aktif</v>
          </cell>
          <cell r="T100"/>
          <cell r="U100" t="str">
            <v>AP240526</v>
          </cell>
          <cell r="V100" t="str">
            <v>Instant</v>
          </cell>
          <cell r="W100">
            <v>34</v>
          </cell>
          <cell r="X100">
            <v>3</v>
          </cell>
          <cell r="Y100" t="str">
            <v>T/0</v>
          </cell>
          <cell r="Z100">
            <v>3</v>
          </cell>
          <cell r="AA100" t="str">
            <v>Ya</v>
          </cell>
          <cell r="AB100" t="str">
            <v>Ya</v>
          </cell>
          <cell r="AC100" t="str">
            <v>Ya</v>
          </cell>
        </row>
        <row r="101">
          <cell r="B101" t="str">
            <v>20869</v>
          </cell>
          <cell r="C101" t="str">
            <v>M. Porbo Adjie Athallah</v>
          </cell>
          <cell r="D101" t="str">
            <v>Medokan Sawah no.72A RT.03 RW.01 Medokan Ayu - Rungkut</v>
          </cell>
          <cell r="E101" t="str">
            <v>Surabaya</v>
          </cell>
          <cell r="F101"/>
          <cell r="G101" t="str">
            <v>3578030205010002</v>
          </cell>
          <cell r="H101" t="str">
            <v>082141081935</v>
          </cell>
          <cell r="I101">
            <v>44933</v>
          </cell>
          <cell r="J101">
            <v>36927</v>
          </cell>
          <cell r="K101"/>
          <cell r="L101" t="str">
            <v>Islam</v>
          </cell>
          <cell r="M101" t="str">
            <v>Sidoarjo</v>
          </cell>
          <cell r="N101" t="str">
            <v>Produksi</v>
          </cell>
          <cell r="O101" t="str">
            <v>Extractor</v>
          </cell>
          <cell r="P101" t="str">
            <v>Kepala Regu</v>
          </cell>
          <cell r="Q101" t="str">
            <v>B2</v>
          </cell>
          <cell r="R101" t="str">
            <v>Grup Shift</v>
          </cell>
          <cell r="S101" t="str">
            <v>Aktif</v>
          </cell>
          <cell r="T101"/>
          <cell r="U101" t="str">
            <v>JP240526</v>
          </cell>
          <cell r="V101" t="str">
            <v>Instant</v>
          </cell>
          <cell r="W101">
            <v>25</v>
          </cell>
          <cell r="X101">
            <v>3</v>
          </cell>
          <cell r="Y101" t="str">
            <v>K/0</v>
          </cell>
          <cell r="Z101">
            <v>3</v>
          </cell>
          <cell r="AA101" t="str">
            <v>Ya</v>
          </cell>
          <cell r="AB101" t="str">
            <v>Ya</v>
          </cell>
          <cell r="AC101" t="str">
            <v>Ya</v>
          </cell>
        </row>
        <row r="102">
          <cell r="B102" t="str">
            <v>20870</v>
          </cell>
          <cell r="C102" t="str">
            <v>Sapta Dwi Saputra</v>
          </cell>
          <cell r="D102" t="str">
            <v>Kendangsari Gg. III / 97-B RT.03 RW.03 Kendangsari - Tenggilis Mejoyo</v>
          </cell>
          <cell r="E102" t="str">
            <v>Surabaya</v>
          </cell>
          <cell r="F102"/>
          <cell r="G102" t="str">
            <v>3509032311910003</v>
          </cell>
          <cell r="H102" t="str">
            <v>082333854734</v>
          </cell>
          <cell r="I102">
            <v>44933</v>
          </cell>
          <cell r="J102" t="e">
            <v>#VALUE!</v>
          </cell>
          <cell r="K102"/>
          <cell r="L102" t="str">
            <v>Islam</v>
          </cell>
          <cell r="M102" t="str">
            <v>Sidoarjo</v>
          </cell>
          <cell r="N102" t="str">
            <v>Produksi</v>
          </cell>
          <cell r="O102" t="str">
            <v>Extractor</v>
          </cell>
          <cell r="P102" t="str">
            <v>Kepala Regu</v>
          </cell>
          <cell r="Q102" t="str">
            <v>B2</v>
          </cell>
          <cell r="R102" t="str">
            <v>Grup Shift</v>
          </cell>
          <cell r="S102" t="str">
            <v>Aktif</v>
          </cell>
          <cell r="T102"/>
          <cell r="U102" t="str">
            <v>BP240526</v>
          </cell>
          <cell r="V102" t="str">
            <v>Instant</v>
          </cell>
          <cell r="W102">
            <v>34</v>
          </cell>
          <cell r="X102">
            <v>3</v>
          </cell>
          <cell r="Y102" t="str">
            <v>K/2</v>
          </cell>
          <cell r="Z102">
            <v>3</v>
          </cell>
          <cell r="AA102" t="str">
            <v>Ya</v>
          </cell>
          <cell r="AB102" t="str">
            <v>Ya</v>
          </cell>
          <cell r="AC102" t="str">
            <v>Ya</v>
          </cell>
        </row>
        <row r="103">
          <cell r="B103" t="str">
            <v>20221</v>
          </cell>
          <cell r="C103" t="str">
            <v>Sunaryawan</v>
          </cell>
          <cell r="D103" t="str">
            <v>Dsn Kebon RT.06. RW. 02 Kebondalem  Mojosari</v>
          </cell>
          <cell r="E103" t="str">
            <v>Mojokerto</v>
          </cell>
          <cell r="F103"/>
          <cell r="G103" t="str">
            <v>3516080703780001</v>
          </cell>
          <cell r="H103" t="str">
            <v>085608877054</v>
          </cell>
          <cell r="I103">
            <v>44933</v>
          </cell>
          <cell r="J103">
            <v>28674</v>
          </cell>
          <cell r="K103"/>
          <cell r="L103" t="str">
            <v>Islam</v>
          </cell>
          <cell r="M103" t="str">
            <v>Sidoarjo</v>
          </cell>
          <cell r="N103" t="str">
            <v>Produksi</v>
          </cell>
          <cell r="O103" t="str">
            <v>Extractor</v>
          </cell>
          <cell r="P103" t="str">
            <v>Operator</v>
          </cell>
          <cell r="Q103" t="str">
            <v>B1</v>
          </cell>
          <cell r="R103" t="str">
            <v>Grup Shift</v>
          </cell>
          <cell r="S103" t="str">
            <v>Aktif</v>
          </cell>
          <cell r="T103"/>
          <cell r="U103" t="str">
            <v>BP240526</v>
          </cell>
          <cell r="V103" t="str">
            <v>Instant</v>
          </cell>
          <cell r="W103">
            <v>48</v>
          </cell>
          <cell r="X103">
            <v>29</v>
          </cell>
          <cell r="Y103" t="str">
            <v>K/2</v>
          </cell>
          <cell r="Z103">
            <v>3</v>
          </cell>
          <cell r="AA103" t="str">
            <v>Ya</v>
          </cell>
          <cell r="AB103" t="str">
            <v>Ya</v>
          </cell>
          <cell r="AC103" t="str">
            <v>Ya</v>
          </cell>
        </row>
        <row r="104">
          <cell r="B104" t="str">
            <v>20355</v>
          </cell>
          <cell r="C104" t="str">
            <v>Mulyono</v>
          </cell>
          <cell r="D104" t="str">
            <v>Dsn. Babadan RT.13 RW.04 Kel. Junwangi - Kec. Krian</v>
          </cell>
          <cell r="E104" t="str">
            <v>Sidoarjo</v>
          </cell>
          <cell r="F104"/>
          <cell r="G104" t="str">
            <v>3515111404770003</v>
          </cell>
          <cell r="H104" t="str">
            <v>085852917748</v>
          </cell>
          <cell r="I104">
            <v>44933</v>
          </cell>
          <cell r="J104" t="e">
            <v>#VALUE!</v>
          </cell>
          <cell r="K104"/>
          <cell r="L104" t="str">
            <v>Islam</v>
          </cell>
          <cell r="M104" t="str">
            <v>Sidoarjo</v>
          </cell>
          <cell r="N104" t="str">
            <v>Produksi</v>
          </cell>
          <cell r="O104" t="str">
            <v>Extractor</v>
          </cell>
          <cell r="P104" t="str">
            <v>Operator</v>
          </cell>
          <cell r="Q104" t="str">
            <v>A4</v>
          </cell>
          <cell r="R104" t="str">
            <v>Grup Shift</v>
          </cell>
          <cell r="S104" t="str">
            <v>Aktif</v>
          </cell>
          <cell r="T104"/>
          <cell r="U104" t="str">
            <v>BP240526</v>
          </cell>
          <cell r="V104" t="str">
            <v>Instant</v>
          </cell>
          <cell r="W104">
            <v>49</v>
          </cell>
          <cell r="X104">
            <v>29</v>
          </cell>
          <cell r="Y104" t="str">
            <v>K/1</v>
          </cell>
          <cell r="Z104">
            <v>3</v>
          </cell>
          <cell r="AA104" t="str">
            <v>Ya</v>
          </cell>
          <cell r="AB104" t="str">
            <v>Ya</v>
          </cell>
          <cell r="AC104" t="str">
            <v>Ya</v>
          </cell>
        </row>
        <row r="105">
          <cell r="B105" t="str">
            <v>20502</v>
          </cell>
          <cell r="C105" t="str">
            <v>Supardi</v>
          </cell>
          <cell r="D105" t="str">
            <v>Dusun Sidorenggo Rt.33 Rw.08 Kel. Sidorejo, Krian</v>
          </cell>
          <cell r="E105" t="str">
            <v>Sidoarjo</v>
          </cell>
          <cell r="F105"/>
          <cell r="G105" t="str">
            <v>3515111909760007</v>
          </cell>
          <cell r="H105" t="str">
            <v>085646499490</v>
          </cell>
          <cell r="I105">
            <v>44933</v>
          </cell>
          <cell r="J105" t="e">
            <v>#VALUE!</v>
          </cell>
          <cell r="K105"/>
          <cell r="L105" t="str">
            <v>Islam</v>
          </cell>
          <cell r="M105" t="str">
            <v>Sidoarjo</v>
          </cell>
          <cell r="N105" t="str">
            <v>Produksi</v>
          </cell>
          <cell r="O105" t="str">
            <v>Extractor</v>
          </cell>
          <cell r="P105" t="str">
            <v>Operator</v>
          </cell>
          <cell r="Q105" t="str">
            <v>A4</v>
          </cell>
          <cell r="R105" t="str">
            <v>Grup Shift</v>
          </cell>
          <cell r="S105" t="str">
            <v>Aktif</v>
          </cell>
          <cell r="T105"/>
          <cell r="U105" t="str">
            <v>JP240526</v>
          </cell>
          <cell r="V105" t="str">
            <v>Instant</v>
          </cell>
          <cell r="W105">
            <v>49</v>
          </cell>
          <cell r="X105">
            <v>28</v>
          </cell>
          <cell r="Y105" t="str">
            <v>T/1</v>
          </cell>
          <cell r="Z105">
            <v>3</v>
          </cell>
          <cell r="AA105" t="str">
            <v>Ya</v>
          </cell>
          <cell r="AB105" t="str">
            <v>Ya</v>
          </cell>
          <cell r="AC105" t="str">
            <v>Ya</v>
          </cell>
        </row>
        <row r="106">
          <cell r="B106" t="str">
            <v>20713</v>
          </cell>
          <cell r="C106" t="str">
            <v>Wahyudi Tekad Pribadi</v>
          </cell>
          <cell r="D106" t="str">
            <v>Dsn. Cangkring RT.09 RW.02 Ds. Sawocangkring Kec. Wonoayu</v>
          </cell>
          <cell r="E106" t="str">
            <v>Sidoarjo</v>
          </cell>
          <cell r="F106"/>
          <cell r="G106" t="str">
            <v>3515081905860005</v>
          </cell>
          <cell r="H106" t="str">
            <v>089615277337</v>
          </cell>
          <cell r="I106">
            <v>44933</v>
          </cell>
          <cell r="J106" t="e">
            <v>#VALUE!</v>
          </cell>
          <cell r="K106"/>
          <cell r="L106" t="str">
            <v>Islam</v>
          </cell>
          <cell r="M106" t="str">
            <v>Sidoarjo</v>
          </cell>
          <cell r="N106" t="str">
            <v>Produksi</v>
          </cell>
          <cell r="O106" t="str">
            <v>Extractor</v>
          </cell>
          <cell r="P106" t="str">
            <v>Operator</v>
          </cell>
          <cell r="Q106" t="str">
            <v>B1</v>
          </cell>
          <cell r="R106" t="str">
            <v>Grup Shift</v>
          </cell>
          <cell r="S106" t="str">
            <v>Aktif</v>
          </cell>
          <cell r="T106"/>
          <cell r="U106" t="str">
            <v>AP240526</v>
          </cell>
          <cell r="V106" t="str">
            <v>Instant</v>
          </cell>
          <cell r="W106">
            <v>40</v>
          </cell>
          <cell r="X106">
            <v>13</v>
          </cell>
          <cell r="Y106" t="str">
            <v>K/2</v>
          </cell>
          <cell r="Z106">
            <v>3</v>
          </cell>
          <cell r="AA106" t="str">
            <v>Ya</v>
          </cell>
          <cell r="AB106" t="str">
            <v>Ya</v>
          </cell>
          <cell r="AC106" t="str">
            <v>Ya</v>
          </cell>
        </row>
        <row r="107">
          <cell r="B107" t="str">
            <v>20856</v>
          </cell>
          <cell r="C107" t="str">
            <v>Muhammad Eko Aprianto</v>
          </cell>
          <cell r="D107" t="str">
            <v>Gempol Rt.01 Rw.03 Ds. Balas Klumprik, Kec. Wiyung, Kab. Kota Surabaya (60222)</v>
          </cell>
          <cell r="E107" t="str">
            <v>Surabaya</v>
          </cell>
          <cell r="F107"/>
          <cell r="G107" t="str">
            <v>3515111004990002</v>
          </cell>
          <cell r="H107" t="str">
            <v>0895620051022</v>
          </cell>
          <cell r="I107">
            <v>44933</v>
          </cell>
          <cell r="J107">
            <v>36437</v>
          </cell>
          <cell r="K107"/>
          <cell r="L107" t="str">
            <v>Islam</v>
          </cell>
          <cell r="M107" t="str">
            <v>Sidoarjo</v>
          </cell>
          <cell r="N107" t="str">
            <v>Produksi</v>
          </cell>
          <cell r="O107" t="str">
            <v>Extractor</v>
          </cell>
          <cell r="P107" t="str">
            <v>Operator</v>
          </cell>
          <cell r="Q107" t="str">
            <v>A1</v>
          </cell>
          <cell r="R107" t="str">
            <v>Grup Shift</v>
          </cell>
          <cell r="S107" t="str">
            <v>Aktif</v>
          </cell>
          <cell r="T107"/>
          <cell r="U107" t="str">
            <v>AP240526</v>
          </cell>
          <cell r="V107" t="str">
            <v>Instant</v>
          </cell>
          <cell r="W107">
            <v>27</v>
          </cell>
          <cell r="X107">
            <v>3</v>
          </cell>
          <cell r="Y107" t="str">
            <v>K/1</v>
          </cell>
          <cell r="Z107">
            <v>3</v>
          </cell>
          <cell r="AA107" t="str">
            <v>Ya</v>
          </cell>
          <cell r="AB107" t="str">
            <v>Ya</v>
          </cell>
          <cell r="AC107" t="str">
            <v>Ya</v>
          </cell>
        </row>
        <row r="108">
          <cell r="B108" t="str">
            <v>20861</v>
          </cell>
          <cell r="C108" t="str">
            <v>Zainul Arifin</v>
          </cell>
          <cell r="D108" t="str">
            <v>Teras Dusun Teras RT.04 Rw.03 Ds. Tambakagung - Puri</v>
          </cell>
          <cell r="E108" t="str">
            <v>Mojokerto (61363)</v>
          </cell>
          <cell r="F108"/>
          <cell r="G108" t="str">
            <v>3576011803960002</v>
          </cell>
          <cell r="H108" t="str">
            <v>0895613480505</v>
          </cell>
          <cell r="I108">
            <v>44933</v>
          </cell>
          <cell r="J108" t="e">
            <v>#VALUE!</v>
          </cell>
          <cell r="K108"/>
          <cell r="L108" t="str">
            <v>Islam</v>
          </cell>
          <cell r="M108" t="str">
            <v>Sidoarjo</v>
          </cell>
          <cell r="N108" t="str">
            <v>Produksi</v>
          </cell>
          <cell r="O108" t="str">
            <v>Extractor</v>
          </cell>
          <cell r="P108" t="str">
            <v>Operator</v>
          </cell>
          <cell r="Q108" t="str">
            <v>A1</v>
          </cell>
          <cell r="R108" t="str">
            <v>Grup Shift</v>
          </cell>
          <cell r="S108" t="str">
            <v>Aktif</v>
          </cell>
          <cell r="T108"/>
          <cell r="U108" t="str">
            <v>SP240526</v>
          </cell>
          <cell r="V108" t="str">
            <v>Instant</v>
          </cell>
          <cell r="W108">
            <v>30</v>
          </cell>
          <cell r="X108">
            <v>3</v>
          </cell>
          <cell r="Y108" t="str">
            <v>K/1</v>
          </cell>
          <cell r="Z108">
            <v>3</v>
          </cell>
          <cell r="AA108" t="str">
            <v>Ya</v>
          </cell>
          <cell r="AB108" t="str">
            <v>Ya</v>
          </cell>
          <cell r="AC108" t="str">
            <v>Ya</v>
          </cell>
        </row>
        <row r="109">
          <cell r="B109" t="str">
            <v>20866</v>
          </cell>
          <cell r="C109" t="str">
            <v>Rachmad Dwi Wijaya</v>
          </cell>
          <cell r="D109" t="str">
            <v>Dsn. Kalicangkring RT.09 RW.04 Ds. Kaligoro - Kutorejo</v>
          </cell>
          <cell r="E109" t="str">
            <v>Mojokerto</v>
          </cell>
          <cell r="F109"/>
          <cell r="G109" t="str">
            <v>3516072309010001</v>
          </cell>
          <cell r="H109" t="str">
            <v>081949781618</v>
          </cell>
          <cell r="I109">
            <v>44933</v>
          </cell>
          <cell r="J109" t="e">
            <v>#VALUE!</v>
          </cell>
          <cell r="K109"/>
          <cell r="L109" t="str">
            <v>Islam</v>
          </cell>
          <cell r="M109" t="str">
            <v>Sidoarjo</v>
          </cell>
          <cell r="N109" t="str">
            <v>Produksi</v>
          </cell>
          <cell r="O109" t="str">
            <v>Extractor</v>
          </cell>
          <cell r="P109" t="str">
            <v>Operator</v>
          </cell>
          <cell r="Q109" t="str">
            <v>A1</v>
          </cell>
          <cell r="R109" t="str">
            <v>Grup Shift</v>
          </cell>
          <cell r="S109" t="str">
            <v>Aktif</v>
          </cell>
          <cell r="T109"/>
          <cell r="U109" t="str">
            <v>SP240526</v>
          </cell>
          <cell r="V109" t="str">
            <v>Instant</v>
          </cell>
          <cell r="W109">
            <v>24</v>
          </cell>
          <cell r="X109">
            <v>3</v>
          </cell>
          <cell r="Y109" t="str">
            <v>T/0</v>
          </cell>
          <cell r="Z109">
            <v>3</v>
          </cell>
          <cell r="AA109" t="str">
            <v>Ya</v>
          </cell>
          <cell r="AB109" t="str">
            <v>Ya</v>
          </cell>
          <cell r="AC109" t="str">
            <v>Ya</v>
          </cell>
        </row>
        <row r="110">
          <cell r="B110" t="str">
            <v>20871</v>
          </cell>
          <cell r="C110" t="str">
            <v>Hendrik Kiswantoro</v>
          </cell>
          <cell r="D110" t="str">
            <v>Dusun Sepat RT.06 Rw.02 Kel. Wirobiting - Prambon</v>
          </cell>
          <cell r="E110" t="str">
            <v>Sidoarjo</v>
          </cell>
          <cell r="F110"/>
          <cell r="G110" t="str">
            <v>3522241510970001</v>
          </cell>
          <cell r="H110" t="str">
            <v>0895801674300, 082230094066</v>
          </cell>
          <cell r="I110">
            <v>44933</v>
          </cell>
          <cell r="J110" t="e">
            <v>#VALUE!</v>
          </cell>
          <cell r="K110"/>
          <cell r="L110" t="str">
            <v>Islam</v>
          </cell>
          <cell r="M110" t="str">
            <v>Sidoarjo</v>
          </cell>
          <cell r="N110" t="str">
            <v>Produksi</v>
          </cell>
          <cell r="O110" t="str">
            <v>Extractor</v>
          </cell>
          <cell r="P110" t="str">
            <v>Operator</v>
          </cell>
          <cell r="Q110" t="str">
            <v>A1</v>
          </cell>
          <cell r="R110" t="str">
            <v>Grup Shift</v>
          </cell>
          <cell r="S110" t="str">
            <v>Aktif</v>
          </cell>
          <cell r="T110"/>
          <cell r="U110" t="str">
            <v>BP240526</v>
          </cell>
          <cell r="V110" t="str">
            <v>Instant</v>
          </cell>
          <cell r="W110">
            <v>28</v>
          </cell>
          <cell r="X110">
            <v>3</v>
          </cell>
          <cell r="Y110" t="str">
            <v>K/1</v>
          </cell>
          <cell r="Z110">
            <v>3</v>
          </cell>
          <cell r="AA110" t="str">
            <v>Ya</v>
          </cell>
          <cell r="AB110" t="str">
            <v>Ya</v>
          </cell>
          <cell r="AC110" t="str">
            <v>Ya</v>
          </cell>
        </row>
        <row r="111">
          <cell r="B111" t="str">
            <v>20874</v>
          </cell>
          <cell r="C111" t="str">
            <v>Achmad Alfian Farisandi</v>
          </cell>
          <cell r="D111" t="str">
            <v>Kedung Rukem 4/47 RT.04 RW.07 Kedungdoro - Tegalsari</v>
          </cell>
          <cell r="E111" t="str">
            <v>Surabaya</v>
          </cell>
          <cell r="F111"/>
          <cell r="G111" t="str">
            <v>3578052609950001</v>
          </cell>
          <cell r="H111" t="str">
            <v>082266912561</v>
          </cell>
          <cell r="I111">
            <v>44933</v>
          </cell>
          <cell r="J111" t="e">
            <v>#VALUE!</v>
          </cell>
          <cell r="K111"/>
          <cell r="L111" t="str">
            <v>Islam</v>
          </cell>
          <cell r="M111" t="str">
            <v>Sidoarjo</v>
          </cell>
          <cell r="N111" t="str">
            <v>Produksi</v>
          </cell>
          <cell r="O111" t="str">
            <v>Extractor</v>
          </cell>
          <cell r="P111" t="str">
            <v>Operator</v>
          </cell>
          <cell r="Q111" t="str">
            <v>A1</v>
          </cell>
          <cell r="R111" t="str">
            <v>Grup Shift</v>
          </cell>
          <cell r="S111" t="str">
            <v>Aktif</v>
          </cell>
          <cell r="T111"/>
          <cell r="U111" t="str">
            <v>BP240526</v>
          </cell>
          <cell r="V111" t="str">
            <v>Instant</v>
          </cell>
          <cell r="W111">
            <v>30</v>
          </cell>
          <cell r="X111">
            <v>3</v>
          </cell>
          <cell r="Y111" t="str">
            <v>T/0</v>
          </cell>
          <cell r="Z111">
            <v>3</v>
          </cell>
          <cell r="AA111" t="str">
            <v>Ya</v>
          </cell>
          <cell r="AB111" t="str">
            <v>Ya</v>
          </cell>
          <cell r="AC111" t="str">
            <v>Ya</v>
          </cell>
        </row>
        <row r="112">
          <cell r="B112" t="str">
            <v>20875</v>
          </cell>
          <cell r="C112" t="str">
            <v>Primanda Karunia Akbar</v>
          </cell>
          <cell r="D112" t="str">
            <v>Pulo Wonokromo 259-B RT.06 RW.02 Wonokromo - Wonokromo</v>
          </cell>
          <cell r="E112" t="str">
            <v>Surabaya</v>
          </cell>
          <cell r="F112"/>
          <cell r="G112" t="str">
            <v>3578041602020002</v>
          </cell>
          <cell r="H112" t="str">
            <v>085748703244</v>
          </cell>
          <cell r="I112">
            <v>44933</v>
          </cell>
          <cell r="J112" t="e">
            <v>#VALUE!</v>
          </cell>
          <cell r="K112"/>
          <cell r="L112" t="str">
            <v>Islam</v>
          </cell>
          <cell r="M112" t="str">
            <v>Sidoarjo</v>
          </cell>
          <cell r="N112" t="str">
            <v>Produksi</v>
          </cell>
          <cell r="O112" t="str">
            <v>Extractor</v>
          </cell>
          <cell r="P112" t="str">
            <v>Operator</v>
          </cell>
          <cell r="Q112" t="str">
            <v>A4</v>
          </cell>
          <cell r="R112" t="str">
            <v>Grup Shift</v>
          </cell>
          <cell r="S112" t="str">
            <v>Aktif</v>
          </cell>
          <cell r="T112"/>
          <cell r="U112" t="str">
            <v>AP240526</v>
          </cell>
          <cell r="V112" t="str">
            <v>Instant</v>
          </cell>
          <cell r="W112">
            <v>24</v>
          </cell>
          <cell r="X112">
            <v>3</v>
          </cell>
          <cell r="Y112" t="str">
            <v>T/0</v>
          </cell>
          <cell r="Z112">
            <v>3</v>
          </cell>
          <cell r="AA112" t="str">
            <v>Ya</v>
          </cell>
          <cell r="AB112" t="str">
            <v>Ya</v>
          </cell>
          <cell r="AC112" t="str">
            <v>Ya</v>
          </cell>
        </row>
        <row r="113">
          <cell r="B113" t="str">
            <v>20879</v>
          </cell>
          <cell r="C113" t="str">
            <v>Wisnu Fadhlurrahman</v>
          </cell>
          <cell r="D113" t="str">
            <v>Grand Royal Regency Jalan Gadung RT.01 RW.16 Wage, Taman</v>
          </cell>
          <cell r="E113" t="str">
            <v>Sidoarjo</v>
          </cell>
          <cell r="F113"/>
          <cell r="G113" t="str">
            <v>3523160608970002</v>
          </cell>
          <cell r="H113" t="str">
            <v>081358202516 / 081248351851</v>
          </cell>
          <cell r="I113">
            <v>44933</v>
          </cell>
          <cell r="J113">
            <v>35589</v>
          </cell>
          <cell r="K113"/>
          <cell r="L113" t="str">
            <v>Islam</v>
          </cell>
          <cell r="M113" t="str">
            <v>Sidoarjo</v>
          </cell>
          <cell r="N113" t="str">
            <v>Produksi</v>
          </cell>
          <cell r="O113" t="str">
            <v>Extractor</v>
          </cell>
          <cell r="P113" t="str">
            <v>Operator</v>
          </cell>
          <cell r="Q113" t="str">
            <v>A1</v>
          </cell>
          <cell r="R113" t="str">
            <v>Grup Shift</v>
          </cell>
          <cell r="S113" t="str">
            <v>Aktif</v>
          </cell>
          <cell r="T113"/>
          <cell r="U113" t="str">
            <v>JP240526</v>
          </cell>
          <cell r="V113" t="str">
            <v>Instant</v>
          </cell>
          <cell r="W113">
            <v>28</v>
          </cell>
          <cell r="X113">
            <v>3</v>
          </cell>
          <cell r="Y113" t="str">
            <v>K/2</v>
          </cell>
          <cell r="Z113">
            <v>3</v>
          </cell>
          <cell r="AA113" t="str">
            <v>Ya</v>
          </cell>
          <cell r="AB113" t="str">
            <v>Ya</v>
          </cell>
          <cell r="AC113" t="str">
            <v>Ya</v>
          </cell>
        </row>
        <row r="114">
          <cell r="B114" t="str">
            <v>20882</v>
          </cell>
          <cell r="C114" t="str">
            <v>Farzuk Irfana</v>
          </cell>
          <cell r="D114" t="str">
            <v>Sobowidoro Rt.02 Rw.07 Trosobo Taman (Kos)</v>
          </cell>
          <cell r="E114" t="str">
            <v>Sidoarjo</v>
          </cell>
          <cell r="F114"/>
          <cell r="G114" t="str">
            <v>3505110301980007</v>
          </cell>
          <cell r="H114" t="str">
            <v>087865176501</v>
          </cell>
          <cell r="I114">
            <v>44933</v>
          </cell>
          <cell r="J114">
            <v>35855</v>
          </cell>
          <cell r="K114"/>
          <cell r="L114" t="str">
            <v>Islam</v>
          </cell>
          <cell r="M114" t="str">
            <v>Sidoarjo</v>
          </cell>
          <cell r="N114" t="str">
            <v>Produksi</v>
          </cell>
          <cell r="O114" t="str">
            <v>Extractor</v>
          </cell>
          <cell r="P114" t="str">
            <v>Operator</v>
          </cell>
          <cell r="Q114" t="str">
            <v>A1</v>
          </cell>
          <cell r="R114" t="str">
            <v>Grup Shift</v>
          </cell>
          <cell r="S114" t="str">
            <v>Aktif</v>
          </cell>
          <cell r="T114"/>
          <cell r="U114" t="str">
            <v>SP240526</v>
          </cell>
          <cell r="V114" t="str">
            <v>Instant</v>
          </cell>
          <cell r="W114">
            <v>28</v>
          </cell>
          <cell r="X114">
            <v>3</v>
          </cell>
          <cell r="Y114" t="str">
            <v>T/0</v>
          </cell>
          <cell r="Z114">
            <v>3</v>
          </cell>
          <cell r="AA114" t="str">
            <v>Ya</v>
          </cell>
          <cell r="AB114" t="str">
            <v>Ya</v>
          </cell>
          <cell r="AC114" t="str">
            <v>Ya</v>
          </cell>
        </row>
        <row r="115">
          <cell r="B115" t="str">
            <v>20884</v>
          </cell>
          <cell r="C115" t="str">
            <v>Dhika Putra Ashari</v>
          </cell>
          <cell r="D115" t="str">
            <v>Sidorogo Rt. 02 Rw.06 Trosobo Taman</v>
          </cell>
          <cell r="E115" t="str">
            <v>Sidoarjo</v>
          </cell>
          <cell r="F115"/>
          <cell r="G115" t="str">
            <v>3515131302030003</v>
          </cell>
          <cell r="H115" t="str">
            <v>0895628139962</v>
          </cell>
          <cell r="I115">
            <v>44933</v>
          </cell>
          <cell r="J115" t="e">
            <v>#VALUE!</v>
          </cell>
          <cell r="K115"/>
          <cell r="L115" t="str">
            <v>Islam</v>
          </cell>
          <cell r="M115" t="str">
            <v>Sidoarjo</v>
          </cell>
          <cell r="N115" t="str">
            <v>Produksi</v>
          </cell>
          <cell r="O115" t="str">
            <v>Extractor</v>
          </cell>
          <cell r="P115" t="str">
            <v>Operator</v>
          </cell>
          <cell r="Q115" t="str">
            <v>B1</v>
          </cell>
          <cell r="R115" t="str">
            <v>Grup Shift</v>
          </cell>
          <cell r="S115" t="str">
            <v>Aktif</v>
          </cell>
          <cell r="T115"/>
          <cell r="U115" t="str">
            <v>AP240526</v>
          </cell>
          <cell r="V115" t="str">
            <v>Instant</v>
          </cell>
          <cell r="W115">
            <v>23</v>
          </cell>
          <cell r="X115">
            <v>3</v>
          </cell>
          <cell r="Y115" t="str">
            <v>T/0</v>
          </cell>
          <cell r="Z115">
            <v>3</v>
          </cell>
          <cell r="AA115" t="str">
            <v>Ya</v>
          </cell>
          <cell r="AB115" t="str">
            <v>Ya</v>
          </cell>
          <cell r="AC115" t="str">
            <v>Ya</v>
          </cell>
        </row>
        <row r="116">
          <cell r="B116" t="str">
            <v>20886</v>
          </cell>
          <cell r="C116" t="str">
            <v>Mohamad Fahrurrozi</v>
          </cell>
          <cell r="D116" t="str">
            <v>Dsn Sumber Rt.03 Rw.01 Terik - Krian</v>
          </cell>
          <cell r="E116" t="str">
            <v>Sidoarjo</v>
          </cell>
          <cell r="F116"/>
          <cell r="G116" t="str">
            <v>3515111008000002</v>
          </cell>
          <cell r="H116" t="str">
            <v>083102808433</v>
          </cell>
          <cell r="I116">
            <v>44933</v>
          </cell>
          <cell r="J116">
            <v>36807</v>
          </cell>
          <cell r="K116"/>
          <cell r="L116" t="str">
            <v>Islam</v>
          </cell>
          <cell r="M116" t="str">
            <v>Sidoarjo</v>
          </cell>
          <cell r="N116" t="str">
            <v>Produksi</v>
          </cell>
          <cell r="O116" t="str">
            <v>Extractor</v>
          </cell>
          <cell r="P116" t="str">
            <v>Operator</v>
          </cell>
          <cell r="Q116" t="str">
            <v>A4</v>
          </cell>
          <cell r="R116" t="str">
            <v>Grup Shift</v>
          </cell>
          <cell r="S116" t="str">
            <v>Aktif</v>
          </cell>
          <cell r="T116"/>
          <cell r="U116" t="str">
            <v>SP240526</v>
          </cell>
          <cell r="V116" t="str">
            <v>Instant</v>
          </cell>
          <cell r="W116">
            <v>25</v>
          </cell>
          <cell r="X116">
            <v>3</v>
          </cell>
          <cell r="Y116" t="str">
            <v>T/0</v>
          </cell>
          <cell r="Z116">
            <v>3</v>
          </cell>
          <cell r="AA116" t="str">
            <v>Ya</v>
          </cell>
          <cell r="AB116" t="str">
            <v>Ya</v>
          </cell>
          <cell r="AC116" t="str">
            <v>Ya</v>
          </cell>
        </row>
        <row r="117">
          <cell r="B117" t="str">
            <v>20157</v>
          </cell>
          <cell r="C117" t="str">
            <v>Tatok Iswanto</v>
          </cell>
          <cell r="D117" t="str">
            <v>Temu GG 1 RT.2 RW.1 Kel. Temu - Kec. Prambon</v>
          </cell>
          <cell r="E117" t="str">
            <v>Sidoarjo</v>
          </cell>
          <cell r="F117"/>
          <cell r="G117" t="str">
            <v>3515020203780003</v>
          </cell>
          <cell r="H117" t="str">
            <v>085232808903</v>
          </cell>
          <cell r="I117">
            <v>44933</v>
          </cell>
          <cell r="J117">
            <v>28524</v>
          </cell>
          <cell r="K117"/>
          <cell r="L117" t="str">
            <v>Islam</v>
          </cell>
          <cell r="M117" t="str">
            <v>Sidoarjo</v>
          </cell>
          <cell r="N117" t="str">
            <v>Produksi</v>
          </cell>
          <cell r="O117" t="str">
            <v>Instant Coffee Roaster</v>
          </cell>
          <cell r="P117" t="str">
            <v>Kepala Regu</v>
          </cell>
          <cell r="Q117" t="str">
            <v>B2</v>
          </cell>
          <cell r="R117" t="str">
            <v>Grup Shift</v>
          </cell>
          <cell r="S117" t="str">
            <v>Aktif</v>
          </cell>
          <cell r="T117"/>
          <cell r="U117" t="str">
            <v>BP240526</v>
          </cell>
          <cell r="V117" t="str">
            <v>Ground</v>
          </cell>
          <cell r="W117">
            <v>48</v>
          </cell>
          <cell r="X117">
            <v>29</v>
          </cell>
          <cell r="Y117" t="str">
            <v>K/1</v>
          </cell>
          <cell r="Z117">
            <v>3</v>
          </cell>
          <cell r="AA117" t="str">
            <v>Ya</v>
          </cell>
          <cell r="AB117" t="str">
            <v>Ya</v>
          </cell>
          <cell r="AC117" t="str">
            <v>Ya</v>
          </cell>
        </row>
        <row r="118">
          <cell r="B118" t="str">
            <v>20175</v>
          </cell>
          <cell r="C118" t="str">
            <v>Sunaryo</v>
          </cell>
          <cell r="D118" t="str">
            <v>Dsn. Tanjung  RT.03 RW.05 Trosobo - Taman</v>
          </cell>
          <cell r="E118" t="str">
            <v>Sidoarjo</v>
          </cell>
          <cell r="F118"/>
          <cell r="G118" t="str">
            <v>3515132107720002</v>
          </cell>
          <cell r="H118" t="str">
            <v>085852611616</v>
          </cell>
          <cell r="I118">
            <v>44933</v>
          </cell>
          <cell r="J118" t="e">
            <v>#VALUE!</v>
          </cell>
          <cell r="K118"/>
          <cell r="L118" t="str">
            <v>Islam</v>
          </cell>
          <cell r="M118" t="str">
            <v>Sidoarjo</v>
          </cell>
          <cell r="N118" t="str">
            <v>Produksi</v>
          </cell>
          <cell r="O118" t="str">
            <v>Instant Coffee Roaster</v>
          </cell>
          <cell r="P118" t="str">
            <v>Kepala Regu</v>
          </cell>
          <cell r="Q118" t="str">
            <v>B2</v>
          </cell>
          <cell r="R118" t="str">
            <v>Grup Shift</v>
          </cell>
          <cell r="S118" t="str">
            <v>Aktif</v>
          </cell>
          <cell r="T118"/>
          <cell r="U118" t="str">
            <v>SP240526</v>
          </cell>
          <cell r="V118" t="str">
            <v>Ground</v>
          </cell>
          <cell r="W118">
            <v>54</v>
          </cell>
          <cell r="X118">
            <v>29</v>
          </cell>
          <cell r="Y118" t="str">
            <v>K/2</v>
          </cell>
          <cell r="Z118">
            <v>3</v>
          </cell>
          <cell r="AA118" t="str">
            <v>Ya</v>
          </cell>
          <cell r="AB118" t="str">
            <v>Ya</v>
          </cell>
          <cell r="AC118" t="str">
            <v>Ya</v>
          </cell>
        </row>
        <row r="119">
          <cell r="B119" t="str">
            <v>20333</v>
          </cell>
          <cell r="C119" t="str">
            <v>Burhanuddin</v>
          </cell>
          <cell r="D119" t="str">
            <v>Perumdam TA 102 RT. 025 RW. 007 Desa/Kel BarengKrajan Kec. Krian</v>
          </cell>
          <cell r="E119" t="str">
            <v>Sidoarjo</v>
          </cell>
          <cell r="F119"/>
          <cell r="G119" t="str">
            <v>3515111102780001</v>
          </cell>
          <cell r="H119" t="str">
            <v>087743215401</v>
          </cell>
          <cell r="I119">
            <v>44933</v>
          </cell>
          <cell r="J119">
            <v>28796</v>
          </cell>
          <cell r="K119"/>
          <cell r="L119" t="str">
            <v>Islam</v>
          </cell>
          <cell r="M119" t="str">
            <v>Sidoarjo</v>
          </cell>
          <cell r="N119" t="str">
            <v>Produksi</v>
          </cell>
          <cell r="O119" t="str">
            <v>Instant Coffee Roaster</v>
          </cell>
          <cell r="P119" t="str">
            <v>Kepala Regu</v>
          </cell>
          <cell r="Q119" t="str">
            <v>B2</v>
          </cell>
          <cell r="R119" t="str">
            <v>Grup Shift</v>
          </cell>
          <cell r="S119" t="str">
            <v>Aktif</v>
          </cell>
          <cell r="T119"/>
          <cell r="U119" t="str">
            <v>AP240526</v>
          </cell>
          <cell r="V119" t="str">
            <v>Ground</v>
          </cell>
          <cell r="W119">
            <v>48</v>
          </cell>
          <cell r="X119">
            <v>29</v>
          </cell>
          <cell r="Y119" t="str">
            <v>K/3</v>
          </cell>
          <cell r="Z119">
            <v>3</v>
          </cell>
          <cell r="AA119" t="str">
            <v>Ya</v>
          </cell>
          <cell r="AB119" t="str">
            <v>Ya</v>
          </cell>
          <cell r="AC119" t="str">
            <v>Ya</v>
          </cell>
        </row>
        <row r="120">
          <cell r="B120" t="str">
            <v>20756</v>
          </cell>
          <cell r="C120" t="str">
            <v>Muhammad Taufiq, S.T.</v>
          </cell>
          <cell r="D120" t="str">
            <v>Ngemplak RT.07 RW.03 Cemeng Kalang - Sidoarjo</v>
          </cell>
          <cell r="E120" t="str">
            <v>Sidoarjo</v>
          </cell>
          <cell r="F120"/>
          <cell r="G120" t="str">
            <v>3515080111940005</v>
          </cell>
          <cell r="H120" t="str">
            <v>082139424823</v>
          </cell>
          <cell r="I120">
            <v>44933</v>
          </cell>
          <cell r="J120">
            <v>34345</v>
          </cell>
          <cell r="K120"/>
          <cell r="L120" t="str">
            <v>Islam</v>
          </cell>
          <cell r="M120" t="str">
            <v>Sidoarjo</v>
          </cell>
          <cell r="N120" t="str">
            <v>Produksi</v>
          </cell>
          <cell r="O120" t="str">
            <v>Instant Coffee Roaster</v>
          </cell>
          <cell r="P120" t="str">
            <v>Kepala Regu</v>
          </cell>
          <cell r="Q120" t="str">
            <v>B2</v>
          </cell>
          <cell r="R120" t="str">
            <v>Grup Shift</v>
          </cell>
          <cell r="S120" t="str">
            <v>Aktif</v>
          </cell>
          <cell r="T120"/>
          <cell r="U120" t="str">
            <v>JP240526</v>
          </cell>
          <cell r="V120" t="str">
            <v>Ground</v>
          </cell>
          <cell r="W120">
            <v>31</v>
          </cell>
          <cell r="X120">
            <v>9</v>
          </cell>
          <cell r="Y120" t="str">
            <v>K/3</v>
          </cell>
          <cell r="Z120">
            <v>3</v>
          </cell>
          <cell r="AA120" t="str">
            <v>Ya</v>
          </cell>
          <cell r="AB120" t="str">
            <v>Ya</v>
          </cell>
          <cell r="AC120" t="str">
            <v>Ya</v>
          </cell>
        </row>
        <row r="121">
          <cell r="B121" t="str">
            <v>20257</v>
          </cell>
          <cell r="C121" t="str">
            <v>Dwi Yuli Priyanto</v>
          </cell>
          <cell r="D121" t="str">
            <v>Dsn. Kalicangkring RT.09 RW.04 Ds. Kaligoro Kec. Kutorejo</v>
          </cell>
          <cell r="E121" t="str">
            <v>Mojokerto</v>
          </cell>
          <cell r="F121"/>
          <cell r="G121" t="str">
            <v>3516070307760001</v>
          </cell>
          <cell r="H121" t="str">
            <v>085645502605</v>
          </cell>
          <cell r="I121">
            <v>44933</v>
          </cell>
          <cell r="J121">
            <v>27826</v>
          </cell>
          <cell r="K121"/>
          <cell r="L121" t="str">
            <v>Islam</v>
          </cell>
          <cell r="M121" t="str">
            <v>Sidoarjo</v>
          </cell>
          <cell r="N121" t="str">
            <v>Produksi</v>
          </cell>
          <cell r="O121" t="str">
            <v>Instant Coffee Roaster</v>
          </cell>
          <cell r="P121" t="str">
            <v>Operator</v>
          </cell>
          <cell r="Q121" t="str">
            <v>B1</v>
          </cell>
          <cell r="R121" t="str">
            <v>Grup Shift</v>
          </cell>
          <cell r="S121" t="str">
            <v>Aktif</v>
          </cell>
          <cell r="T121"/>
          <cell r="U121" t="str">
            <v>AP240526</v>
          </cell>
          <cell r="V121" t="str">
            <v>Ground</v>
          </cell>
          <cell r="W121">
            <v>50</v>
          </cell>
          <cell r="X121">
            <v>29</v>
          </cell>
          <cell r="Y121" t="str">
            <v>T/2</v>
          </cell>
          <cell r="Z121">
            <v>3</v>
          </cell>
          <cell r="AA121" t="str">
            <v>Ya</v>
          </cell>
          <cell r="AB121" t="str">
            <v>Ya</v>
          </cell>
          <cell r="AC121" t="str">
            <v>Ya</v>
          </cell>
        </row>
        <row r="122">
          <cell r="B122" t="str">
            <v>20344</v>
          </cell>
          <cell r="C122" t="str">
            <v>Agus Wahyudi</v>
          </cell>
          <cell r="D122" t="str">
            <v>Ds. Klutuk Kulon Jl. Kramat Jegu RT.2 RW.1 Kramat Jegu Taman</v>
          </cell>
          <cell r="E122" t="str">
            <v>Sidoarjo</v>
          </cell>
          <cell r="F122"/>
          <cell r="G122" t="str">
            <v>3515181008760004</v>
          </cell>
          <cell r="H122" t="str">
            <v>085257707833</v>
          </cell>
          <cell r="I122">
            <v>44933</v>
          </cell>
          <cell r="J122">
            <v>28041</v>
          </cell>
          <cell r="K122"/>
          <cell r="L122" t="str">
            <v>Islam</v>
          </cell>
          <cell r="M122" t="str">
            <v>Sidoarjo</v>
          </cell>
          <cell r="N122" t="str">
            <v>Produksi</v>
          </cell>
          <cell r="O122" t="str">
            <v>Instant Coffee Roaster</v>
          </cell>
          <cell r="P122" t="str">
            <v>Operator</v>
          </cell>
          <cell r="Q122" t="str">
            <v>B1</v>
          </cell>
          <cell r="R122" t="str">
            <v>Grup Shift</v>
          </cell>
          <cell r="S122" t="str">
            <v>Aktif</v>
          </cell>
          <cell r="T122"/>
          <cell r="U122" t="str">
            <v>SP240526</v>
          </cell>
          <cell r="V122" t="str">
            <v>Ground</v>
          </cell>
          <cell r="W122">
            <v>49</v>
          </cell>
          <cell r="X122">
            <v>29</v>
          </cell>
          <cell r="Y122" t="str">
            <v>K/1</v>
          </cell>
          <cell r="Z122">
            <v>3</v>
          </cell>
          <cell r="AA122" t="str">
            <v>Ya</v>
          </cell>
          <cell r="AB122" t="str">
            <v>Ya</v>
          </cell>
          <cell r="AC122" t="str">
            <v>Ya</v>
          </cell>
        </row>
        <row r="123">
          <cell r="B123" t="str">
            <v>20353</v>
          </cell>
          <cell r="C123" t="str">
            <v>Sihabuddin</v>
          </cell>
          <cell r="D123" t="str">
            <v>Terik RT.12 RW.04 Terik  Krian</v>
          </cell>
          <cell r="E123" t="str">
            <v>Sidoarjo</v>
          </cell>
          <cell r="F123"/>
          <cell r="G123" t="str">
            <v>3515111412740002</v>
          </cell>
          <cell r="H123" t="str">
            <v>089699499320</v>
          </cell>
          <cell r="I123">
            <v>44933</v>
          </cell>
          <cell r="J123" t="e">
            <v>#VALUE!</v>
          </cell>
          <cell r="K123"/>
          <cell r="L123" t="str">
            <v>Islam</v>
          </cell>
          <cell r="M123" t="str">
            <v>Sidoarjo</v>
          </cell>
          <cell r="N123" t="str">
            <v>Produksi</v>
          </cell>
          <cell r="O123" t="str">
            <v>Instant Coffee Roaster</v>
          </cell>
          <cell r="P123" t="str">
            <v>Operator</v>
          </cell>
          <cell r="Q123" t="str">
            <v>B1</v>
          </cell>
          <cell r="R123" t="str">
            <v>Grup Shift</v>
          </cell>
          <cell r="S123" t="str">
            <v>Aktif</v>
          </cell>
          <cell r="T123"/>
          <cell r="U123" t="str">
            <v>BP240526</v>
          </cell>
          <cell r="V123" t="str">
            <v>Ground</v>
          </cell>
          <cell r="W123">
            <v>51</v>
          </cell>
          <cell r="X123">
            <v>29</v>
          </cell>
          <cell r="Y123" t="str">
            <v>K/2</v>
          </cell>
          <cell r="Z123">
            <v>3</v>
          </cell>
          <cell r="AA123" t="str">
            <v>Ya</v>
          </cell>
          <cell r="AB123" t="str">
            <v>Ya</v>
          </cell>
          <cell r="AC123" t="str">
            <v>Ya</v>
          </cell>
        </row>
        <row r="124">
          <cell r="B124" t="str">
            <v>20397</v>
          </cell>
          <cell r="C124" t="str">
            <v>Syeh Afi Alydrus</v>
          </cell>
          <cell r="D124" t="str">
            <v>Ketegan GG 3/72 RT.5 RW.1 Kel. Ketegan - Kec. Taman</v>
          </cell>
          <cell r="E124" t="str">
            <v>Sidoarjo</v>
          </cell>
          <cell r="F124"/>
          <cell r="G124" t="str">
            <v>3515132707730004</v>
          </cell>
          <cell r="H124" t="str">
            <v>08990705906</v>
          </cell>
          <cell r="I124">
            <v>44933</v>
          </cell>
          <cell r="J124">
            <v>26852</v>
          </cell>
          <cell r="K124"/>
          <cell r="L124" t="str">
            <v>Islam</v>
          </cell>
          <cell r="M124" t="str">
            <v>Sidoarjo</v>
          </cell>
          <cell r="N124" t="str">
            <v>Produksi</v>
          </cell>
          <cell r="O124" t="str">
            <v>Instant Coffee Roaster</v>
          </cell>
          <cell r="P124" t="str">
            <v>Operator</v>
          </cell>
          <cell r="Q124" t="str">
            <v>B1</v>
          </cell>
          <cell r="R124" t="str">
            <v>Grup Shift</v>
          </cell>
          <cell r="S124" t="str">
            <v>Aktif</v>
          </cell>
          <cell r="T124"/>
          <cell r="U124" t="str">
            <v>BP240526</v>
          </cell>
          <cell r="V124" t="str">
            <v>Ground</v>
          </cell>
          <cell r="W124">
            <v>53</v>
          </cell>
          <cell r="X124">
            <v>29</v>
          </cell>
          <cell r="Y124" t="str">
            <v>K/1</v>
          </cell>
          <cell r="Z124">
            <v>3</v>
          </cell>
          <cell r="AA124" t="str">
            <v>Ya</v>
          </cell>
          <cell r="AB124" t="str">
            <v>Ya</v>
          </cell>
          <cell r="AC124" t="str">
            <v>Ya</v>
          </cell>
        </row>
        <row r="125">
          <cell r="B125" t="str">
            <v>20650</v>
          </cell>
          <cell r="C125" t="str">
            <v>Adi Biantoro</v>
          </cell>
          <cell r="D125" t="str">
            <v>Dsn. Gedangklutuk RT.02 RW.01 Gempolklutuk - Tarik</v>
          </cell>
          <cell r="E125" t="str">
            <v>Sidoarjo</v>
          </cell>
          <cell r="F125"/>
          <cell r="G125" t="str">
            <v>3515110101900001</v>
          </cell>
          <cell r="H125" t="str">
            <v>082233001878</v>
          </cell>
          <cell r="I125">
            <v>44933</v>
          </cell>
          <cell r="J125">
            <v>32874</v>
          </cell>
          <cell r="K125"/>
          <cell r="L125" t="str">
            <v>Islam</v>
          </cell>
          <cell r="M125" t="str">
            <v>Sidoarjo</v>
          </cell>
          <cell r="N125" t="str">
            <v>Produksi</v>
          </cell>
          <cell r="O125" t="str">
            <v>Instant Coffee Roaster</v>
          </cell>
          <cell r="P125" t="str">
            <v>Operator</v>
          </cell>
          <cell r="Q125" t="str">
            <v>B1</v>
          </cell>
          <cell r="R125" t="str">
            <v>Grup Shift</v>
          </cell>
          <cell r="S125" t="str">
            <v>Aktif</v>
          </cell>
          <cell r="T125"/>
          <cell r="U125" t="str">
            <v>SP240526</v>
          </cell>
          <cell r="V125" t="str">
            <v>Ground</v>
          </cell>
          <cell r="W125">
            <v>36</v>
          </cell>
          <cell r="X125">
            <v>17</v>
          </cell>
          <cell r="Y125" t="str">
            <v>K/3</v>
          </cell>
          <cell r="Z125">
            <v>3</v>
          </cell>
          <cell r="AA125" t="str">
            <v>Ya</v>
          </cell>
          <cell r="AB125" t="str">
            <v>Ya</v>
          </cell>
          <cell r="AC125" t="str">
            <v>Ya</v>
          </cell>
        </row>
        <row r="126">
          <cell r="B126" t="str">
            <v>20758</v>
          </cell>
          <cell r="C126" t="str">
            <v>Rizky Agung Wahyuadi</v>
          </cell>
          <cell r="D126" t="str">
            <v>Dsn. Beron Rt. 04 Rw. 01 Ds. Waruberon Kec. Balongbendo</v>
          </cell>
          <cell r="E126" t="str">
            <v>Sidoarjo</v>
          </cell>
          <cell r="F126"/>
          <cell r="G126" t="str">
            <v>3515121205960004</v>
          </cell>
          <cell r="H126" t="str">
            <v>085645491285</v>
          </cell>
          <cell r="I126">
            <v>44933</v>
          </cell>
          <cell r="J126">
            <v>35404</v>
          </cell>
          <cell r="K126"/>
          <cell r="L126" t="str">
            <v>Islam</v>
          </cell>
          <cell r="M126" t="str">
            <v>Sidoarjo</v>
          </cell>
          <cell r="N126" t="str">
            <v>Produksi</v>
          </cell>
          <cell r="O126" t="str">
            <v>Instant Coffee Roaster</v>
          </cell>
          <cell r="P126" t="str">
            <v>Operator</v>
          </cell>
          <cell r="Q126" t="str">
            <v>B1</v>
          </cell>
          <cell r="R126" t="str">
            <v>Grup Shift</v>
          </cell>
          <cell r="S126" t="str">
            <v>Aktif</v>
          </cell>
          <cell r="T126"/>
          <cell r="U126" t="str">
            <v>JP240526</v>
          </cell>
          <cell r="V126" t="str">
            <v>Ground</v>
          </cell>
          <cell r="W126">
            <v>30</v>
          </cell>
          <cell r="X126">
            <v>9</v>
          </cell>
          <cell r="Y126" t="str">
            <v>K/1</v>
          </cell>
          <cell r="Z126">
            <v>3</v>
          </cell>
          <cell r="AA126" t="str">
            <v>Ya</v>
          </cell>
          <cell r="AB126" t="str">
            <v>Ya</v>
          </cell>
          <cell r="AC126" t="str">
            <v>Ya</v>
          </cell>
        </row>
        <row r="127">
          <cell r="B127" t="str">
            <v>20850</v>
          </cell>
          <cell r="C127" t="str">
            <v>Febrian Adi Nurmansyah</v>
          </cell>
          <cell r="D127" t="str">
            <v>(Kos) Perumahan pondok jegu indah, Klutuk RT 2 RW 01,Kramat jegu, Taman</v>
          </cell>
          <cell r="E127" t="str">
            <v>Sidoarjo</v>
          </cell>
          <cell r="F127"/>
          <cell r="G127" t="str">
            <v>3510210511980003</v>
          </cell>
          <cell r="H127" t="str">
            <v>082244144456</v>
          </cell>
          <cell r="I127">
            <v>44933</v>
          </cell>
          <cell r="J127">
            <v>35926</v>
          </cell>
          <cell r="K127"/>
          <cell r="L127" t="str">
            <v>Islam</v>
          </cell>
          <cell r="M127" t="str">
            <v>Sidoarjo</v>
          </cell>
          <cell r="N127" t="str">
            <v>Produksi</v>
          </cell>
          <cell r="O127" t="str">
            <v>Instant Coffee Roaster</v>
          </cell>
          <cell r="P127" t="str">
            <v>Operator</v>
          </cell>
          <cell r="Q127" t="str">
            <v>B1</v>
          </cell>
          <cell r="R127" t="str">
            <v>Grup Shift</v>
          </cell>
          <cell r="S127" t="str">
            <v>Aktif</v>
          </cell>
          <cell r="T127"/>
          <cell r="U127" t="str">
            <v>JP240526</v>
          </cell>
          <cell r="V127" t="str">
            <v>Ground</v>
          </cell>
          <cell r="W127">
            <v>27</v>
          </cell>
          <cell r="X127">
            <v>3</v>
          </cell>
          <cell r="Y127" t="str">
            <v>K/0</v>
          </cell>
          <cell r="Z127">
            <v>3</v>
          </cell>
          <cell r="AA127" t="str">
            <v>Ya</v>
          </cell>
          <cell r="AB127" t="str">
            <v>Ya</v>
          </cell>
          <cell r="AC127" t="str">
            <v>Ya</v>
          </cell>
        </row>
        <row r="128">
          <cell r="B128" t="str">
            <v>20878</v>
          </cell>
          <cell r="C128" t="str">
            <v>Khoirul Arifin</v>
          </cell>
          <cell r="D128" t="str">
            <v>Dsn. Sidorogo Rt.04 Rw.06 Trosobo Taman (KOS)</v>
          </cell>
          <cell r="E128" t="str">
            <v>Sidoarjo</v>
          </cell>
          <cell r="F128"/>
          <cell r="G128" t="str">
            <v>3519092005920001</v>
          </cell>
          <cell r="H128" t="str">
            <v>085607223554</v>
          </cell>
          <cell r="I128">
            <v>44933</v>
          </cell>
          <cell r="J128" t="e">
            <v>#VALUE!</v>
          </cell>
          <cell r="K128"/>
          <cell r="L128" t="str">
            <v>Islam</v>
          </cell>
          <cell r="M128" t="str">
            <v>Sidoarjo</v>
          </cell>
          <cell r="N128" t="str">
            <v>Produksi</v>
          </cell>
          <cell r="O128" t="str">
            <v>Instant Coffee Roaster</v>
          </cell>
          <cell r="P128" t="str">
            <v>Operator</v>
          </cell>
          <cell r="Q128" t="str">
            <v>B1</v>
          </cell>
          <cell r="R128" t="str">
            <v>Grup Shift</v>
          </cell>
          <cell r="S128" t="str">
            <v>Aktif</v>
          </cell>
          <cell r="T128"/>
          <cell r="U128" t="str">
            <v>AP240526</v>
          </cell>
          <cell r="V128" t="str">
            <v>Instant</v>
          </cell>
          <cell r="W128">
            <v>34</v>
          </cell>
          <cell r="X128">
            <v>3</v>
          </cell>
          <cell r="Y128" t="str">
            <v>K/1</v>
          </cell>
          <cell r="Z128">
            <v>3</v>
          </cell>
          <cell r="AA128" t="str">
            <v>Ya</v>
          </cell>
          <cell r="AB128" t="str">
            <v>Ya</v>
          </cell>
          <cell r="AC128" t="str">
            <v>Ya</v>
          </cell>
        </row>
        <row r="129">
          <cell r="B129" t="str">
            <v>20465</v>
          </cell>
          <cell r="C129" t="str">
            <v>Saiful Ashari</v>
          </cell>
          <cell r="D129" t="str">
            <v>Dsn. Kalangan RT.02 RW.01 Ds. Jatikalang Kec. Krian</v>
          </cell>
          <cell r="E129" t="str">
            <v>Sidoarjo</v>
          </cell>
          <cell r="F129"/>
          <cell r="G129" t="str">
            <v>3515112110780002</v>
          </cell>
          <cell r="H129" t="str">
            <v>082335215329</v>
          </cell>
          <cell r="I129">
            <v>44933</v>
          </cell>
          <cell r="J129" t="e">
            <v>#VALUE!</v>
          </cell>
          <cell r="K129"/>
          <cell r="L129" t="str">
            <v>Islam</v>
          </cell>
          <cell r="M129" t="str">
            <v>Sidoarjo</v>
          </cell>
          <cell r="N129" t="str">
            <v>Produksi</v>
          </cell>
          <cell r="O129" t="str">
            <v>Lift</v>
          </cell>
          <cell r="P129" t="str">
            <v>Operator</v>
          </cell>
          <cell r="Q129" t="str">
            <v>A2</v>
          </cell>
          <cell r="R129" t="str">
            <v>Grup Shift</v>
          </cell>
          <cell r="S129" t="str">
            <v>Aktif</v>
          </cell>
          <cell r="T129"/>
          <cell r="U129" t="str">
            <v>BP240526</v>
          </cell>
          <cell r="V129" t="str">
            <v>Instant</v>
          </cell>
          <cell r="W129">
            <v>47</v>
          </cell>
          <cell r="X129">
            <v>28</v>
          </cell>
          <cell r="Y129" t="str">
            <v>K/3</v>
          </cell>
          <cell r="Z129">
            <v>3</v>
          </cell>
          <cell r="AA129" t="str">
            <v>Ya</v>
          </cell>
          <cell r="AB129" t="str">
            <v>Ya</v>
          </cell>
          <cell r="AC129" t="str">
            <v>Ya</v>
          </cell>
        </row>
        <row r="130">
          <cell r="B130" t="str">
            <v>20914</v>
          </cell>
          <cell r="C130" t="str">
            <v>Muh Hizbullah Imansyah</v>
          </cell>
          <cell r="D130" t="str">
            <v>Jl. KH Yakub Rt.10 Rw.03 Kel. Siwalan Panji - Buduran</v>
          </cell>
          <cell r="E130" t="str">
            <v>Sidoarjo</v>
          </cell>
          <cell r="F130" t="str">
            <v>085921689142</v>
          </cell>
          <cell r="G130" t="str">
            <v>3515152502020004</v>
          </cell>
          <cell r="H130" t="str">
            <v>083845081502</v>
          </cell>
          <cell r="I130">
            <v>45393</v>
          </cell>
          <cell r="J130" t="e">
            <v>#VALUE!</v>
          </cell>
          <cell r="K130"/>
          <cell r="L130" t="str">
            <v>Islam</v>
          </cell>
          <cell r="M130" t="str">
            <v>Sidoarjo</v>
          </cell>
          <cell r="N130" t="str">
            <v>Produksi</v>
          </cell>
          <cell r="O130" t="str">
            <v>Packing</v>
          </cell>
          <cell r="P130" t="str">
            <v>Adm.Equal Foreman</v>
          </cell>
          <cell r="Q130" t="str">
            <v>B1</v>
          </cell>
          <cell r="R130" t="str">
            <v>Shift</v>
          </cell>
          <cell r="S130" t="str">
            <v>Aktif</v>
          </cell>
          <cell r="T130" t="str">
            <v>NS1</v>
          </cell>
          <cell r="U130"/>
          <cell r="V130" t="str">
            <v>Instant</v>
          </cell>
          <cell r="W130">
            <v>24</v>
          </cell>
          <cell r="X130">
            <v>1</v>
          </cell>
          <cell r="Y130" t="str">
            <v>T/0</v>
          </cell>
          <cell r="Z130">
            <v>1</v>
          </cell>
          <cell r="AA130" t="str">
            <v>Ya</v>
          </cell>
          <cell r="AB130" t="str">
            <v>Ya</v>
          </cell>
          <cell r="AC130" t="str">
            <v>Ya</v>
          </cell>
        </row>
        <row r="131">
          <cell r="B131" t="str">
            <v>20184</v>
          </cell>
          <cell r="C131" t="str">
            <v>Ir. Bambang Andiwinarko</v>
          </cell>
          <cell r="D131" t="str">
            <v>Mutiara Kebonagung  A - No.3 RT.24 RW.7 Kel. Kebonagung - Kec.Sukodono</v>
          </cell>
          <cell r="E131" t="str">
            <v>Sidoarjo</v>
          </cell>
          <cell r="F131"/>
          <cell r="G131" t="str">
            <v>3515140210660001</v>
          </cell>
          <cell r="H131" t="str">
            <v>081333740741</v>
          </cell>
          <cell r="I131">
            <v>44933</v>
          </cell>
          <cell r="J131">
            <v>24148</v>
          </cell>
          <cell r="K131"/>
          <cell r="L131" t="str">
            <v>Islam</v>
          </cell>
          <cell r="M131" t="str">
            <v>Sidoarjo</v>
          </cell>
          <cell r="N131" t="str">
            <v>Produksi</v>
          </cell>
          <cell r="O131" t="str">
            <v>Packing</v>
          </cell>
          <cell r="P131" t="str">
            <v>Kabag.</v>
          </cell>
          <cell r="Q131" t="str">
            <v>III</v>
          </cell>
          <cell r="R131" t="str">
            <v>Shift</v>
          </cell>
          <cell r="S131" t="str">
            <v>Aktif</v>
          </cell>
          <cell r="T131" t="str">
            <v>NS2</v>
          </cell>
          <cell r="U131"/>
          <cell r="V131" t="str">
            <v>Instant</v>
          </cell>
          <cell r="W131">
            <v>59</v>
          </cell>
          <cell r="X131">
            <v>29</v>
          </cell>
          <cell r="Y131" t="str">
            <v>K/1</v>
          </cell>
          <cell r="Z131">
            <v>3</v>
          </cell>
          <cell r="AA131" t="str">
            <v>Ya</v>
          </cell>
          <cell r="AB131" t="str">
            <v>Ya</v>
          </cell>
          <cell r="AC131" t="str">
            <v>Ya</v>
          </cell>
        </row>
        <row r="132">
          <cell r="B132" t="str">
            <v>20053</v>
          </cell>
          <cell r="C132" t="str">
            <v>Agus Juswantono</v>
          </cell>
          <cell r="D132" t="str">
            <v>Mutiara Kebonagung Blok E-9 RT.24 RW.07 Kebonagung  Sukodono</v>
          </cell>
          <cell r="E132" t="str">
            <v>Sidoarjo</v>
          </cell>
          <cell r="F132"/>
          <cell r="G132" t="str">
            <v>3515142308690001</v>
          </cell>
          <cell r="H132" t="str">
            <v>08113404180</v>
          </cell>
          <cell r="I132">
            <v>44933</v>
          </cell>
          <cell r="J132" t="e">
            <v>#VALUE!</v>
          </cell>
          <cell r="K132"/>
          <cell r="L132" t="str">
            <v>Islam</v>
          </cell>
          <cell r="M132" t="str">
            <v>Sidoarjo</v>
          </cell>
          <cell r="N132" t="str">
            <v>Produksi</v>
          </cell>
          <cell r="O132" t="str">
            <v>Packing</v>
          </cell>
          <cell r="P132" t="str">
            <v>Supervisor</v>
          </cell>
          <cell r="Q132" t="str">
            <v>D1</v>
          </cell>
          <cell r="R132" t="str">
            <v>Grup Shift</v>
          </cell>
          <cell r="S132" t="str">
            <v>Aktif</v>
          </cell>
          <cell r="T132"/>
          <cell r="U132" t="str">
            <v>PIA240526</v>
          </cell>
          <cell r="V132" t="str">
            <v>Instant</v>
          </cell>
          <cell r="W132">
            <v>56</v>
          </cell>
          <cell r="X132">
            <v>33</v>
          </cell>
          <cell r="Y132" t="str">
            <v>K/1</v>
          </cell>
          <cell r="Z132">
            <v>3</v>
          </cell>
          <cell r="AA132" t="str">
            <v>Ya</v>
          </cell>
          <cell r="AB132" t="str">
            <v>Ya</v>
          </cell>
          <cell r="AC132" t="str">
            <v>Ya</v>
          </cell>
        </row>
        <row r="133">
          <cell r="B133" t="str">
            <v>20274</v>
          </cell>
          <cell r="C133" t="str">
            <v>Wahyudi Hanggoro Warsito</v>
          </cell>
          <cell r="D133" t="str">
            <v>Graha Permata Sidorejo Indah P-22 RT.51 RW.10 Sidorejo Kec. Krian</v>
          </cell>
          <cell r="E133" t="str">
            <v>Sidoarjo</v>
          </cell>
          <cell r="F133"/>
          <cell r="G133" t="str">
            <v>3515111007730007</v>
          </cell>
          <cell r="H133" t="str">
            <v>085852261484</v>
          </cell>
          <cell r="I133">
            <v>44933</v>
          </cell>
          <cell r="J133">
            <v>26944</v>
          </cell>
          <cell r="K133"/>
          <cell r="L133" t="str">
            <v>Islam</v>
          </cell>
          <cell r="M133" t="str">
            <v>Sidoarjo</v>
          </cell>
          <cell r="N133" t="str">
            <v>Produksi</v>
          </cell>
          <cell r="O133" t="str">
            <v>Packing</v>
          </cell>
          <cell r="P133" t="str">
            <v>Supervisor</v>
          </cell>
          <cell r="Q133" t="str">
            <v>C4</v>
          </cell>
          <cell r="R133" t="str">
            <v>Grup Shift</v>
          </cell>
          <cell r="S133" t="str">
            <v>Aktif</v>
          </cell>
          <cell r="T133"/>
          <cell r="U133" t="str">
            <v>PID240526</v>
          </cell>
          <cell r="V133" t="str">
            <v>Instant</v>
          </cell>
          <cell r="W133">
            <v>53</v>
          </cell>
          <cell r="X133">
            <v>29</v>
          </cell>
          <cell r="Y133" t="str">
            <v>T/2</v>
          </cell>
          <cell r="Z133">
            <v>3</v>
          </cell>
          <cell r="AA133" t="str">
            <v>Ya</v>
          </cell>
          <cell r="AB133" t="str">
            <v>Ya</v>
          </cell>
          <cell r="AC133" t="str">
            <v>Ya</v>
          </cell>
        </row>
        <row r="134">
          <cell r="B134" t="str">
            <v>20661</v>
          </cell>
          <cell r="C134" t="str">
            <v>Mochamad Choirudin</v>
          </cell>
          <cell r="D134" t="str">
            <v>Perum Mutiara citra graha Blok L3/23 RT.20 RW.08 Ds. Bligo  Candi</v>
          </cell>
          <cell r="E134" t="str">
            <v>Sidoarjo</v>
          </cell>
          <cell r="F134" t="str">
            <v>031-75171660</v>
          </cell>
          <cell r="G134" t="str">
            <v>3578050905880001</v>
          </cell>
          <cell r="H134" t="str">
            <v>081338363923</v>
          </cell>
          <cell r="I134">
            <v>44933</v>
          </cell>
          <cell r="J134">
            <v>32391</v>
          </cell>
          <cell r="K134"/>
          <cell r="L134" t="str">
            <v>Islam</v>
          </cell>
          <cell r="M134" t="str">
            <v>Sidoarjo</v>
          </cell>
          <cell r="N134" t="str">
            <v>Produksi</v>
          </cell>
          <cell r="O134" t="str">
            <v>Packing</v>
          </cell>
          <cell r="P134" t="str">
            <v>Supervisor</v>
          </cell>
          <cell r="Q134" t="str">
            <v>C4</v>
          </cell>
          <cell r="R134" t="str">
            <v>Grup Shift</v>
          </cell>
          <cell r="S134" t="str">
            <v>Aktif</v>
          </cell>
          <cell r="T134"/>
          <cell r="U134" t="str">
            <v>PIB240526</v>
          </cell>
          <cell r="V134" t="str">
            <v>Instant</v>
          </cell>
          <cell r="W134">
            <v>38</v>
          </cell>
          <cell r="X134">
            <v>16</v>
          </cell>
          <cell r="Y134" t="str">
            <v>K/0</v>
          </cell>
          <cell r="Z134">
            <v>3</v>
          </cell>
          <cell r="AA134" t="str">
            <v>Ya</v>
          </cell>
          <cell r="AB134" t="str">
            <v>Ya</v>
          </cell>
          <cell r="AC134" t="str">
            <v>Ya</v>
          </cell>
        </row>
        <row r="135">
          <cell r="B135" t="str">
            <v>20844</v>
          </cell>
          <cell r="C135" t="str">
            <v>Bagus Putra Wibowo</v>
          </cell>
          <cell r="D135" t="str">
            <v>Jl. Hidayah no. 70 rt/rw 004/006 sidorogo, Taman</v>
          </cell>
          <cell r="E135" t="str">
            <v>Sidoarjo</v>
          </cell>
          <cell r="F135"/>
          <cell r="G135" t="str">
            <v>3509231404960001</v>
          </cell>
          <cell r="H135" t="str">
            <v>0895351543003</v>
          </cell>
          <cell r="I135">
            <v>44933</v>
          </cell>
          <cell r="J135" t="e">
            <v>#VALUE!</v>
          </cell>
          <cell r="K135"/>
          <cell r="L135" t="str">
            <v>Islam</v>
          </cell>
          <cell r="M135" t="str">
            <v>Sidoarjo</v>
          </cell>
          <cell r="N135" t="str">
            <v>Produksi</v>
          </cell>
          <cell r="O135" t="str">
            <v>Packing</v>
          </cell>
          <cell r="P135" t="str">
            <v>Supervisor</v>
          </cell>
          <cell r="Q135" t="str">
            <v>C4</v>
          </cell>
          <cell r="R135" t="str">
            <v>Grup Shift</v>
          </cell>
          <cell r="S135" t="str">
            <v>Aktif</v>
          </cell>
          <cell r="T135"/>
          <cell r="U135" t="str">
            <v>PIC240526</v>
          </cell>
          <cell r="V135" t="str">
            <v>Instant</v>
          </cell>
          <cell r="W135">
            <v>30</v>
          </cell>
          <cell r="X135">
            <v>6</v>
          </cell>
          <cell r="Y135" t="str">
            <v>K/2</v>
          </cell>
          <cell r="Z135">
            <v>3</v>
          </cell>
          <cell r="AA135" t="str">
            <v>Ya</v>
          </cell>
          <cell r="AB135" t="str">
            <v>Ya</v>
          </cell>
          <cell r="AC135" t="str">
            <v>Ya</v>
          </cell>
        </row>
        <row r="136">
          <cell r="B136" t="str">
            <v>20035</v>
          </cell>
          <cell r="C136" t="str">
            <v>Zainul Arifin</v>
          </cell>
          <cell r="D136" t="str">
            <v>Trosobo RT.3 RW.2 Kel. Trosobo - Kec. Taman</v>
          </cell>
          <cell r="E136" t="str">
            <v>Sidoarjo</v>
          </cell>
          <cell r="F136"/>
          <cell r="G136" t="str">
            <v>3515132612710004</v>
          </cell>
          <cell r="H136" t="str">
            <v>085708719500</v>
          </cell>
          <cell r="I136">
            <v>44933</v>
          </cell>
          <cell r="J136" t="e">
            <v>#VALUE!</v>
          </cell>
          <cell r="K136"/>
          <cell r="L136" t="str">
            <v>Islam</v>
          </cell>
          <cell r="M136" t="str">
            <v>Sidoarjo</v>
          </cell>
          <cell r="N136" t="str">
            <v>Produksi</v>
          </cell>
          <cell r="O136" t="str">
            <v>Packing Instant</v>
          </cell>
          <cell r="P136" t="str">
            <v>Kepala Regu</v>
          </cell>
          <cell r="Q136" t="str">
            <v>B1</v>
          </cell>
          <cell r="R136" t="str">
            <v>Grup Shift</v>
          </cell>
          <cell r="S136" t="str">
            <v>Aktif</v>
          </cell>
          <cell r="T136"/>
          <cell r="U136" t="str">
            <v>PINST240526</v>
          </cell>
          <cell r="V136" t="str">
            <v>Instant</v>
          </cell>
          <cell r="W136">
            <v>54</v>
          </cell>
          <cell r="X136">
            <v>34</v>
          </cell>
          <cell r="Y136" t="str">
            <v>K/1</v>
          </cell>
          <cell r="Z136">
            <v>3</v>
          </cell>
          <cell r="AA136" t="str">
            <v>Ya</v>
          </cell>
          <cell r="AB136" t="str">
            <v>Ya</v>
          </cell>
          <cell r="AC136" t="str">
            <v>Ya</v>
          </cell>
        </row>
        <row r="137">
          <cell r="B137" t="str">
            <v>20937</v>
          </cell>
          <cell r="C137" t="str">
            <v>Wahyu Fuji Cahyono</v>
          </cell>
          <cell r="D137" t="str">
            <v>Dsn. Balongan Rt.18 Rw.04 Ds, Janti - Tarik - Sidoarjo</v>
          </cell>
          <cell r="E137" t="str">
            <v>Sidoarjo (61265)</v>
          </cell>
          <cell r="F137"/>
          <cell r="G137" t="str">
            <v>3515010805920002</v>
          </cell>
          <cell r="H137" t="str">
            <v>085645598883</v>
          </cell>
          <cell r="I137" t="e">
            <v>#VALUE!</v>
          </cell>
          <cell r="J137">
            <v>33821</v>
          </cell>
          <cell r="K137"/>
          <cell r="L137" t="str">
            <v>Islam</v>
          </cell>
          <cell r="M137" t="str">
            <v>Sidoarjo</v>
          </cell>
          <cell r="N137" t="str">
            <v>Produksi</v>
          </cell>
          <cell r="O137" t="str">
            <v>Packing Instant</v>
          </cell>
          <cell r="P137" t="str">
            <v>Kepala Regu</v>
          </cell>
          <cell r="Q137" t="str">
            <v>A1</v>
          </cell>
          <cell r="R137" t="str">
            <v>Shift</v>
          </cell>
          <cell r="S137" t="str">
            <v>Aktif</v>
          </cell>
          <cell r="T137" t="str">
            <v>NS1</v>
          </cell>
          <cell r="U137"/>
          <cell r="V137" t="str">
            <v>Instant</v>
          </cell>
          <cell r="W137">
            <v>34</v>
          </cell>
          <cell r="X137">
            <v>0</v>
          </cell>
          <cell r="Y137" t="str">
            <v>T/0</v>
          </cell>
          <cell r="Z137">
            <v>0</v>
          </cell>
          <cell r="AA137" t="str">
            <v>Ya</v>
          </cell>
          <cell r="AB137" t="str">
            <v>Ya</v>
          </cell>
          <cell r="AC137" t="str">
            <v>Ya</v>
          </cell>
        </row>
        <row r="138">
          <cell r="B138" t="str">
            <v>20270</v>
          </cell>
          <cell r="C138" t="str">
            <v>M Basuni</v>
          </cell>
          <cell r="D138" t="str">
            <v>Ds Keboharan RT. 007 RW. 002 Desa/Kel. Keboharan Kec. Krian</v>
          </cell>
          <cell r="E138" t="str">
            <v>Sidoarjo</v>
          </cell>
          <cell r="F138"/>
          <cell r="G138" t="str">
            <v>3515111112710002</v>
          </cell>
          <cell r="H138" t="str">
            <v>085730302496</v>
          </cell>
          <cell r="I138">
            <v>44933</v>
          </cell>
          <cell r="J138">
            <v>26249</v>
          </cell>
          <cell r="K138"/>
          <cell r="L138" t="str">
            <v>Islam</v>
          </cell>
          <cell r="M138" t="str">
            <v>Sidoarjo</v>
          </cell>
          <cell r="N138" t="str">
            <v>Produksi</v>
          </cell>
          <cell r="O138" t="str">
            <v>Packing Instant</v>
          </cell>
          <cell r="P138" t="str">
            <v>Operator</v>
          </cell>
          <cell r="Q138" t="str">
            <v>A4</v>
          </cell>
          <cell r="R138" t="str">
            <v>Shift</v>
          </cell>
          <cell r="S138" t="str">
            <v>Aktif</v>
          </cell>
          <cell r="T138" t="str">
            <v>NS1</v>
          </cell>
          <cell r="U138"/>
          <cell r="V138" t="str">
            <v>Instant</v>
          </cell>
          <cell r="W138">
            <v>54</v>
          </cell>
          <cell r="X138">
            <v>29</v>
          </cell>
          <cell r="Y138" t="str">
            <v>K/1</v>
          </cell>
          <cell r="Z138">
            <v>3</v>
          </cell>
          <cell r="AA138" t="str">
            <v>Ya</v>
          </cell>
          <cell r="AB138" t="str">
            <v>Ya</v>
          </cell>
          <cell r="AC138" t="str">
            <v>Ya</v>
          </cell>
        </row>
        <row r="139">
          <cell r="B139" t="str">
            <v>20303</v>
          </cell>
          <cell r="C139" t="str">
            <v>Tri Santoso</v>
          </cell>
          <cell r="D139" t="str">
            <v>Trosobo RT.03 RW.02 Trosobo  Taman</v>
          </cell>
          <cell r="E139" t="str">
            <v>Sidoarjo</v>
          </cell>
          <cell r="F139"/>
          <cell r="G139" t="str">
            <v>3515133108710006</v>
          </cell>
          <cell r="H139" t="str">
            <v>081331217374</v>
          </cell>
          <cell r="I139">
            <v>44933</v>
          </cell>
          <cell r="J139" t="e">
            <v>#VALUE!</v>
          </cell>
          <cell r="K139"/>
          <cell r="L139" t="str">
            <v>Islam</v>
          </cell>
          <cell r="M139" t="str">
            <v>Sidoarjo</v>
          </cell>
          <cell r="N139" t="str">
            <v>Produksi</v>
          </cell>
          <cell r="O139" t="str">
            <v>Packing Instant</v>
          </cell>
          <cell r="P139" t="str">
            <v>Operator</v>
          </cell>
          <cell r="Q139" t="str">
            <v>A4</v>
          </cell>
          <cell r="R139" t="str">
            <v>Shift</v>
          </cell>
          <cell r="S139" t="str">
            <v>Aktif</v>
          </cell>
          <cell r="T139" t="str">
            <v>NS1</v>
          </cell>
          <cell r="U139"/>
          <cell r="V139" t="str">
            <v>Instant</v>
          </cell>
          <cell r="W139">
            <v>54</v>
          </cell>
          <cell r="X139">
            <v>29</v>
          </cell>
          <cell r="Y139" t="str">
            <v>K/3</v>
          </cell>
          <cell r="Z139">
            <v>3</v>
          </cell>
          <cell r="AA139" t="str">
            <v>Ya</v>
          </cell>
          <cell r="AB139" t="str">
            <v>Ya</v>
          </cell>
          <cell r="AC139" t="str">
            <v>Ya</v>
          </cell>
        </row>
        <row r="140">
          <cell r="B140" t="str">
            <v>20305</v>
          </cell>
          <cell r="C140" t="str">
            <v>Saat Akhmad</v>
          </cell>
          <cell r="D140" t="str">
            <v>Sedengan Mijen RT.007 RW.003 Sedenganmijen, Krian</v>
          </cell>
          <cell r="E140" t="str">
            <v>Sidoarjo</v>
          </cell>
          <cell r="F140"/>
          <cell r="G140" t="str">
            <v>3515112909730002</v>
          </cell>
          <cell r="H140" t="str">
            <v>081332559893</v>
          </cell>
          <cell r="I140">
            <v>44933</v>
          </cell>
          <cell r="J140" t="e">
            <v>#VALUE!</v>
          </cell>
          <cell r="K140"/>
          <cell r="L140" t="str">
            <v>Islam</v>
          </cell>
          <cell r="M140" t="str">
            <v>Sidoarjo</v>
          </cell>
          <cell r="N140" t="str">
            <v>Produksi</v>
          </cell>
          <cell r="O140" t="str">
            <v>Packing Instant</v>
          </cell>
          <cell r="P140" t="str">
            <v>Operator</v>
          </cell>
          <cell r="Q140" t="str">
            <v>A4</v>
          </cell>
          <cell r="R140" t="str">
            <v>Shift</v>
          </cell>
          <cell r="S140" t="str">
            <v>Aktif</v>
          </cell>
          <cell r="T140" t="str">
            <v>NS1</v>
          </cell>
          <cell r="U140"/>
          <cell r="V140" t="str">
            <v>Instant</v>
          </cell>
          <cell r="W140">
            <v>52</v>
          </cell>
          <cell r="X140">
            <v>29</v>
          </cell>
          <cell r="Y140" t="str">
            <v>T/1</v>
          </cell>
          <cell r="Z140">
            <v>3</v>
          </cell>
          <cell r="AA140" t="str">
            <v>Ya</v>
          </cell>
          <cell r="AB140" t="str">
            <v>Ya</v>
          </cell>
          <cell r="AC140" t="str">
            <v>Ya</v>
          </cell>
        </row>
        <row r="141">
          <cell r="B141" t="str">
            <v>20390</v>
          </cell>
          <cell r="C141" t="str">
            <v>Deni Triwahananto</v>
          </cell>
          <cell r="D141" t="str">
            <v>Perum Jenggolo Asri D No.13 RT.03 RW.08 Kel. Sidokerto - Kec. Buduran</v>
          </cell>
          <cell r="E141" t="str">
            <v>Sidoarjo</v>
          </cell>
          <cell r="F141"/>
          <cell r="G141" t="str">
            <v>3515150912720001</v>
          </cell>
          <cell r="H141" t="str">
            <v>0816518943</v>
          </cell>
          <cell r="I141">
            <v>44933</v>
          </cell>
          <cell r="J141">
            <v>26554</v>
          </cell>
          <cell r="K141"/>
          <cell r="L141" t="str">
            <v>Islam</v>
          </cell>
          <cell r="M141" t="str">
            <v>Sidoarjo</v>
          </cell>
          <cell r="N141" t="str">
            <v>Produksi</v>
          </cell>
          <cell r="O141" t="str">
            <v>Production Engineering</v>
          </cell>
          <cell r="P141" t="str">
            <v>Assistant Manager</v>
          </cell>
          <cell r="Q141" t="str">
            <v>II</v>
          </cell>
          <cell r="R141" t="str">
            <v>Shift</v>
          </cell>
          <cell r="S141" t="str">
            <v>Aktif</v>
          </cell>
          <cell r="T141" t="str">
            <v>NS1</v>
          </cell>
          <cell r="U141"/>
          <cell r="V141" t="str">
            <v>Instant</v>
          </cell>
          <cell r="W141">
            <v>53</v>
          </cell>
          <cell r="X141">
            <v>29</v>
          </cell>
          <cell r="Y141" t="str">
            <v>K/1</v>
          </cell>
          <cell r="Z141">
            <v>3</v>
          </cell>
          <cell r="AA141" t="str">
            <v>Ya</v>
          </cell>
          <cell r="AB141" t="str">
            <v>Ya</v>
          </cell>
          <cell r="AC141" t="str">
            <v>Ya</v>
          </cell>
        </row>
        <row r="142">
          <cell r="B142" t="str">
            <v>20653</v>
          </cell>
          <cell r="C142" t="str">
            <v>Didik Santoso</v>
          </cell>
          <cell r="D142" t="str">
            <v>Jabaran RT 01, RW 1, Jabaran - Balongbendo</v>
          </cell>
          <cell r="E142" t="str">
            <v>Sidoarjo</v>
          </cell>
          <cell r="F142"/>
          <cell r="G142" t="str">
            <v>3515122210860009</v>
          </cell>
          <cell r="H142" t="str">
            <v>085731599653</v>
          </cell>
          <cell r="I142">
            <v>44933</v>
          </cell>
          <cell r="J142" t="e">
            <v>#VALUE!</v>
          </cell>
          <cell r="K142"/>
          <cell r="L142" t="str">
            <v>Islam</v>
          </cell>
          <cell r="M142" t="str">
            <v>Sidoarjo</v>
          </cell>
          <cell r="N142" t="str">
            <v>Produksi</v>
          </cell>
          <cell r="O142" t="str">
            <v>Production Engineering</v>
          </cell>
          <cell r="P142" t="str">
            <v>Operator</v>
          </cell>
          <cell r="Q142" t="str">
            <v>D1</v>
          </cell>
          <cell r="R142" t="str">
            <v>Shift</v>
          </cell>
          <cell r="S142" t="str">
            <v>Aktif</v>
          </cell>
          <cell r="T142" t="str">
            <v>NS1</v>
          </cell>
          <cell r="U142"/>
          <cell r="V142" t="str">
            <v>Instant</v>
          </cell>
          <cell r="W142">
            <v>39</v>
          </cell>
          <cell r="X142">
            <v>16</v>
          </cell>
          <cell r="Y142" t="str">
            <v>K/2</v>
          </cell>
          <cell r="Z142">
            <v>3</v>
          </cell>
          <cell r="AA142" t="str">
            <v>Ya</v>
          </cell>
          <cell r="AB142" t="str">
            <v>Ya</v>
          </cell>
          <cell r="AC142" t="str">
            <v>Ya</v>
          </cell>
        </row>
        <row r="143">
          <cell r="B143" t="str">
            <v>20773</v>
          </cell>
          <cell r="C143" t="str">
            <v>Ahmad Ramadani</v>
          </cell>
          <cell r="D143" t="str">
            <v>Margorukun Rel No. 06 RT.01 RW.02 Gundih - Bubutan</v>
          </cell>
          <cell r="E143" t="str">
            <v>Surabaya</v>
          </cell>
          <cell r="F143"/>
          <cell r="G143" t="str">
            <v>3516071801980001</v>
          </cell>
          <cell r="H143" t="str">
            <v>083856698889</v>
          </cell>
          <cell r="I143">
            <v>44933</v>
          </cell>
          <cell r="J143" t="e">
            <v>#VALUE!</v>
          </cell>
          <cell r="K143"/>
          <cell r="L143" t="str">
            <v>Islam</v>
          </cell>
          <cell r="M143" t="str">
            <v>Sidoarjo</v>
          </cell>
          <cell r="N143" t="str">
            <v>Produksi</v>
          </cell>
          <cell r="O143" t="str">
            <v>Production Engineering</v>
          </cell>
          <cell r="P143" t="str">
            <v>Staf Equal To Spv</v>
          </cell>
          <cell r="Q143" t="str">
            <v>D1</v>
          </cell>
          <cell r="R143" t="str">
            <v>Shift</v>
          </cell>
          <cell r="S143" t="str">
            <v>Aktif</v>
          </cell>
          <cell r="T143" t="str">
            <v>NS1</v>
          </cell>
          <cell r="U143"/>
          <cell r="V143" t="str">
            <v>Instant</v>
          </cell>
          <cell r="W143">
            <v>28</v>
          </cell>
          <cell r="X143">
            <v>7</v>
          </cell>
          <cell r="Y143" t="str">
            <v>K/1</v>
          </cell>
          <cell r="Z143">
            <v>3</v>
          </cell>
          <cell r="AA143" t="str">
            <v>Ya</v>
          </cell>
          <cell r="AB143" t="str">
            <v>Ya</v>
          </cell>
          <cell r="AC143" t="str">
            <v>Ya</v>
          </cell>
        </row>
        <row r="144">
          <cell r="B144" t="str">
            <v>20775</v>
          </cell>
          <cell r="C144" t="str">
            <v>Dafid Eko Permana</v>
          </cell>
          <cell r="D144" t="str">
            <v>Kos Warna Jl. Kenongosari 1 No. 21 Rt.01Rw.01 Waru</v>
          </cell>
          <cell r="E144" t="str">
            <v>Sidoarjo</v>
          </cell>
          <cell r="F144"/>
          <cell r="G144" t="str">
            <v>3517152111950002</v>
          </cell>
          <cell r="H144" t="str">
            <v>087848920520</v>
          </cell>
          <cell r="I144">
            <v>44933</v>
          </cell>
          <cell r="J144" t="e">
            <v>#VALUE!</v>
          </cell>
          <cell r="K144"/>
          <cell r="L144" t="str">
            <v>Islam</v>
          </cell>
          <cell r="M144" t="str">
            <v>Sidoarjo</v>
          </cell>
          <cell r="N144" t="str">
            <v>Produksi</v>
          </cell>
          <cell r="O144" t="str">
            <v>Production Engineering</v>
          </cell>
          <cell r="P144" t="str">
            <v>Staf Equal To Spv</v>
          </cell>
          <cell r="Q144" t="str">
            <v>D1</v>
          </cell>
          <cell r="R144" t="str">
            <v>Shift</v>
          </cell>
          <cell r="S144" t="str">
            <v>Aktif</v>
          </cell>
          <cell r="T144" t="str">
            <v>NS1</v>
          </cell>
          <cell r="U144"/>
          <cell r="V144" t="str">
            <v>Instant</v>
          </cell>
          <cell r="W144">
            <v>30</v>
          </cell>
          <cell r="X144">
            <v>7</v>
          </cell>
          <cell r="Y144" t="str">
            <v>K/0</v>
          </cell>
          <cell r="Z144">
            <v>3</v>
          </cell>
          <cell r="AA144" t="str">
            <v>Ya</v>
          </cell>
          <cell r="AB144" t="str">
            <v>Ya</v>
          </cell>
          <cell r="AC144" t="str">
            <v>Ya</v>
          </cell>
        </row>
        <row r="145">
          <cell r="B145" t="str">
            <v>20420</v>
          </cell>
          <cell r="C145" t="str">
            <v>Rullyana</v>
          </cell>
          <cell r="D145" t="str">
            <v>Perum Griya Loka Blok A1 No. 07 RT26. RW.06 jatikalang - Krian</v>
          </cell>
          <cell r="E145" t="str">
            <v>Sidoarjo</v>
          </cell>
          <cell r="F145" t="str">
            <v>031 - 8542119</v>
          </cell>
          <cell r="G145" t="str">
            <v>3515184606770005</v>
          </cell>
          <cell r="H145" t="str">
            <v>089696246516, 081233947176</v>
          </cell>
          <cell r="I145">
            <v>44933</v>
          </cell>
          <cell r="J145">
            <v>28277</v>
          </cell>
          <cell r="K145"/>
          <cell r="L145" t="str">
            <v>Islam</v>
          </cell>
          <cell r="M145" t="str">
            <v>Sidoarjo</v>
          </cell>
          <cell r="N145" t="str">
            <v>Produksi</v>
          </cell>
          <cell r="O145" t="str">
            <v>Production Information System</v>
          </cell>
          <cell r="P145" t="str">
            <v>Staf Equal To Spv</v>
          </cell>
          <cell r="Q145" t="str">
            <v>C2</v>
          </cell>
          <cell r="R145" t="str">
            <v>Shift</v>
          </cell>
          <cell r="S145" t="str">
            <v>Aktif</v>
          </cell>
          <cell r="T145" t="str">
            <v>NS2</v>
          </cell>
          <cell r="U145"/>
          <cell r="V145" t="str">
            <v>Instant</v>
          </cell>
          <cell r="W145">
            <v>49</v>
          </cell>
          <cell r="X145">
            <v>29</v>
          </cell>
          <cell r="Y145" t="str">
            <v>T/0</v>
          </cell>
          <cell r="Z145">
            <v>3</v>
          </cell>
          <cell r="AA145" t="str">
            <v>Ya</v>
          </cell>
          <cell r="AB145" t="str">
            <v>Ya</v>
          </cell>
          <cell r="AC145" t="str">
            <v>Ya</v>
          </cell>
        </row>
        <row r="146">
          <cell r="B146" t="str">
            <v>20571</v>
          </cell>
          <cell r="C146" t="str">
            <v>Krisdianto</v>
          </cell>
          <cell r="D146" t="str">
            <v>Dsn Gempol Rt.16 / Rw.04 Ds. Jedongcangkring Kec. Prambon</v>
          </cell>
          <cell r="E146" t="str">
            <v>Sidoarjo</v>
          </cell>
          <cell r="F146" t="str">
            <v>031-8982506</v>
          </cell>
          <cell r="G146" t="str">
            <v>3515111407840002</v>
          </cell>
          <cell r="H146" t="str">
            <v>081932013864</v>
          </cell>
          <cell r="I146">
            <v>44933</v>
          </cell>
          <cell r="J146" t="e">
            <v>#VALUE!</v>
          </cell>
          <cell r="K146"/>
          <cell r="L146" t="str">
            <v>Islam</v>
          </cell>
          <cell r="M146" t="str">
            <v>Sidoarjo</v>
          </cell>
          <cell r="N146" t="str">
            <v>Produksi</v>
          </cell>
          <cell r="O146" t="str">
            <v>Production Information System</v>
          </cell>
          <cell r="P146" t="str">
            <v>Staf Equal To Spv</v>
          </cell>
          <cell r="Q146" t="str">
            <v>C2</v>
          </cell>
          <cell r="R146" t="str">
            <v>Shift</v>
          </cell>
          <cell r="S146" t="str">
            <v>Aktif</v>
          </cell>
          <cell r="T146" t="str">
            <v>NS1</v>
          </cell>
          <cell r="U146"/>
          <cell r="V146" t="str">
            <v>Instant</v>
          </cell>
          <cell r="W146">
            <v>42</v>
          </cell>
          <cell r="X146">
            <v>22</v>
          </cell>
          <cell r="Y146" t="str">
            <v>K/2</v>
          </cell>
          <cell r="Z146">
            <v>3</v>
          </cell>
          <cell r="AA146" t="str">
            <v>Ya</v>
          </cell>
          <cell r="AB146" t="str">
            <v>Ya</v>
          </cell>
          <cell r="AC146" t="str">
            <v>Ya</v>
          </cell>
        </row>
        <row r="147">
          <cell r="B147" t="str">
            <v>20034</v>
          </cell>
          <cell r="C147" t="str">
            <v>Bachrul Anwar</v>
          </cell>
          <cell r="D147" t="str">
            <v>Dsn. Besuk RT.1 Rw.1 Kel Jabaran - Kec. Balongbendo</v>
          </cell>
          <cell r="E147" t="str">
            <v>Sidoarjo</v>
          </cell>
          <cell r="F147"/>
          <cell r="G147" t="str">
            <v>3515120204710001</v>
          </cell>
          <cell r="H147" t="str">
            <v>081 330 409295</v>
          </cell>
          <cell r="I147">
            <v>44933</v>
          </cell>
          <cell r="J147">
            <v>25968</v>
          </cell>
          <cell r="K147"/>
          <cell r="L147" t="str">
            <v>Islam</v>
          </cell>
          <cell r="M147" t="str">
            <v>Sidoarjo</v>
          </cell>
          <cell r="N147" t="str">
            <v>Produksi</v>
          </cell>
          <cell r="O147" t="str">
            <v>Proses</v>
          </cell>
          <cell r="P147" t="str">
            <v>Kabag.</v>
          </cell>
          <cell r="Q147" t="str">
            <v>III</v>
          </cell>
          <cell r="R147" t="str">
            <v>Grup Shift</v>
          </cell>
          <cell r="S147" t="str">
            <v>Aktif</v>
          </cell>
          <cell r="T147"/>
          <cell r="U147" t="str">
            <v>BP240526</v>
          </cell>
          <cell r="V147" t="str">
            <v>Instant</v>
          </cell>
          <cell r="W147">
            <v>55</v>
          </cell>
          <cell r="X147">
            <v>34</v>
          </cell>
          <cell r="Y147" t="str">
            <v>K/0</v>
          </cell>
          <cell r="Z147">
            <v>3</v>
          </cell>
          <cell r="AA147" t="str">
            <v>Ya</v>
          </cell>
          <cell r="AB147" t="str">
            <v>Ya</v>
          </cell>
          <cell r="AC147" t="str">
            <v>Ya</v>
          </cell>
        </row>
        <row r="148">
          <cell r="B148" t="str">
            <v>20123</v>
          </cell>
          <cell r="C148" t="str">
            <v>Januar Arie Ostianto</v>
          </cell>
          <cell r="D148" t="str">
            <v>Gading Kirana A No.22 RT.34 RW.1 Kel. Sidokepung - Kec. Buduran</v>
          </cell>
          <cell r="E148" t="str">
            <v>Sidoarjo</v>
          </cell>
          <cell r="F148" t="str">
            <v>031-8066223</v>
          </cell>
          <cell r="G148" t="str">
            <v>3515150301720004</v>
          </cell>
          <cell r="H148" t="str">
            <v>081330597459</v>
          </cell>
          <cell r="I148">
            <v>44933</v>
          </cell>
          <cell r="J148">
            <v>26359</v>
          </cell>
          <cell r="K148"/>
          <cell r="L148" t="str">
            <v>Islam</v>
          </cell>
          <cell r="M148" t="str">
            <v>Sidoarjo</v>
          </cell>
          <cell r="N148" t="str">
            <v>Produksi</v>
          </cell>
          <cell r="O148" t="str">
            <v>Proses</v>
          </cell>
          <cell r="P148" t="str">
            <v>Kabag.</v>
          </cell>
          <cell r="Q148" t="str">
            <v>III</v>
          </cell>
          <cell r="R148" t="str">
            <v>Grup Shift</v>
          </cell>
          <cell r="S148" t="str">
            <v>Aktif</v>
          </cell>
          <cell r="T148"/>
          <cell r="U148" t="str">
            <v>JP240526</v>
          </cell>
          <cell r="V148" t="str">
            <v>Instant</v>
          </cell>
          <cell r="W148">
            <v>54</v>
          </cell>
          <cell r="X148">
            <v>30</v>
          </cell>
          <cell r="Y148" t="str">
            <v>K/0</v>
          </cell>
          <cell r="Z148">
            <v>3</v>
          </cell>
          <cell r="AA148" t="str">
            <v>Ya</v>
          </cell>
          <cell r="AB148" t="str">
            <v>Ya</v>
          </cell>
          <cell r="AC148" t="str">
            <v>Ya</v>
          </cell>
        </row>
        <row r="149">
          <cell r="B149" t="str">
            <v>20219</v>
          </cell>
          <cell r="C149" t="str">
            <v>Suryono</v>
          </cell>
          <cell r="D149" t="str">
            <v>Dsn. Jabon Rt.03 Rw.03 Ds. kajartengguli Prambon</v>
          </cell>
          <cell r="E149" t="str">
            <v>Sidoarjo</v>
          </cell>
          <cell r="F149"/>
          <cell r="G149" t="str">
            <v>3515082911760009</v>
          </cell>
          <cell r="H149" t="str">
            <v>082302254943</v>
          </cell>
          <cell r="I149">
            <v>44933</v>
          </cell>
          <cell r="J149" t="e">
            <v>#VALUE!</v>
          </cell>
          <cell r="K149"/>
          <cell r="L149" t="str">
            <v>Islam</v>
          </cell>
          <cell r="M149" t="str">
            <v>Sidoarjo</v>
          </cell>
          <cell r="N149" t="str">
            <v>Produksi</v>
          </cell>
          <cell r="O149" t="str">
            <v>Proses</v>
          </cell>
          <cell r="P149" t="str">
            <v>Kabag.</v>
          </cell>
          <cell r="Q149" t="str">
            <v>III</v>
          </cell>
          <cell r="R149" t="str">
            <v>Grup Shift</v>
          </cell>
          <cell r="S149" t="str">
            <v>Aktif</v>
          </cell>
          <cell r="T149"/>
          <cell r="U149" t="str">
            <v>SP240526</v>
          </cell>
          <cell r="V149" t="str">
            <v>Instant</v>
          </cell>
          <cell r="W149">
            <v>49</v>
          </cell>
          <cell r="X149">
            <v>29</v>
          </cell>
          <cell r="Y149" t="str">
            <v>K/1</v>
          </cell>
          <cell r="Z149">
            <v>3</v>
          </cell>
          <cell r="AA149" t="str">
            <v>Ya</v>
          </cell>
          <cell r="AB149" t="str">
            <v>Ya</v>
          </cell>
          <cell r="AC149" t="str">
            <v>Ya</v>
          </cell>
        </row>
        <row r="150">
          <cell r="B150" t="str">
            <v>20381</v>
          </cell>
          <cell r="C150" t="str">
            <v>Anis Murias</v>
          </cell>
          <cell r="D150" t="str">
            <v>Jenggolo Asri P No.6 RT.01 RW.08 Kel. Sidokerto - Kec. Buduran</v>
          </cell>
          <cell r="E150" t="str">
            <v>Sidoarjo</v>
          </cell>
          <cell r="F150"/>
          <cell r="G150" t="str">
            <v>3515152606730001</v>
          </cell>
          <cell r="H150" t="str">
            <v>081231025449, wa-085854132466</v>
          </cell>
          <cell r="I150">
            <v>44933</v>
          </cell>
          <cell r="J150" t="e">
            <v>#VALUE!</v>
          </cell>
          <cell r="K150"/>
          <cell r="L150" t="str">
            <v>Islam</v>
          </cell>
          <cell r="M150" t="str">
            <v>Sidoarjo</v>
          </cell>
          <cell r="N150" t="str">
            <v>Produksi</v>
          </cell>
          <cell r="O150" t="str">
            <v>Proses</v>
          </cell>
          <cell r="P150" t="str">
            <v>Kabag.</v>
          </cell>
          <cell r="Q150" t="str">
            <v>III</v>
          </cell>
          <cell r="R150" t="str">
            <v>Grup Shift</v>
          </cell>
          <cell r="S150" t="str">
            <v>Aktif</v>
          </cell>
          <cell r="T150"/>
          <cell r="U150" t="str">
            <v>AP240526</v>
          </cell>
          <cell r="V150" t="str">
            <v>Instant</v>
          </cell>
          <cell r="W150">
            <v>53</v>
          </cell>
          <cell r="X150">
            <v>29</v>
          </cell>
          <cell r="Y150" t="str">
            <v>K/1</v>
          </cell>
          <cell r="Z150">
            <v>3</v>
          </cell>
          <cell r="AA150" t="str">
            <v>Ya</v>
          </cell>
          <cell r="AB150" t="str">
            <v>Ya</v>
          </cell>
          <cell r="AC150" t="str">
            <v>Ya</v>
          </cell>
        </row>
        <row r="151">
          <cell r="B151" t="str">
            <v>20933</v>
          </cell>
          <cell r="C151" t="str">
            <v>Erickson Hamonangan</v>
          </cell>
          <cell r="D151" t="str">
            <v>Perumahan Metland Cibitung Cluster Salvia Blok C8 No.4 Ds. Telagamurni, Cikarang Barat Bekasi 17520</v>
          </cell>
          <cell r="E151" t="str">
            <v>Jakarta Barat</v>
          </cell>
          <cell r="F151"/>
          <cell r="G151" t="str">
            <v>3275110610900008</v>
          </cell>
          <cell r="H151" t="str">
            <v>082125000340</v>
          </cell>
          <cell r="I151">
            <v>46023</v>
          </cell>
          <cell r="J151">
            <v>33034</v>
          </cell>
          <cell r="K151"/>
          <cell r="L151" t="str">
            <v>Kristen Protestan</v>
          </cell>
          <cell r="M151" t="str">
            <v>Sidoarjo</v>
          </cell>
          <cell r="N151" t="str">
            <v>Produksi</v>
          </cell>
          <cell r="O151" t="str">
            <v>Proses</v>
          </cell>
          <cell r="P151" t="str">
            <v>Manager</v>
          </cell>
          <cell r="Q151" t="str">
            <v>II</v>
          </cell>
          <cell r="R151" t="str">
            <v>Shift</v>
          </cell>
          <cell r="S151" t="str">
            <v>Aktif</v>
          </cell>
          <cell r="T151" t="str">
            <v>NS2</v>
          </cell>
          <cell r="U151"/>
          <cell r="V151" t="str">
            <v>Instant</v>
          </cell>
          <cell r="W151">
            <v>35</v>
          </cell>
          <cell r="X151">
            <v>0</v>
          </cell>
          <cell r="Y151" t="str">
            <v>K/1</v>
          </cell>
          <cell r="Z151">
            <v>0</v>
          </cell>
          <cell r="AA151" t="str">
            <v>Tidak</v>
          </cell>
          <cell r="AB151" t="str">
            <v>Tidak</v>
          </cell>
          <cell r="AC151" t="str">
            <v>Tidak</v>
          </cell>
        </row>
        <row r="152">
          <cell r="B152" t="str">
            <v>20013</v>
          </cell>
          <cell r="C152" t="str">
            <v>Moh Ekwanto</v>
          </cell>
          <cell r="D152" t="str">
            <v>Sidorogo RT.3 RW.6 Kel. Trosobo - Kec. Taman</v>
          </cell>
          <cell r="E152" t="str">
            <v>Sidoarjo</v>
          </cell>
          <cell r="F152"/>
          <cell r="G152" t="str">
            <v>3515130704710007</v>
          </cell>
          <cell r="H152" t="str">
            <v>081331518041</v>
          </cell>
          <cell r="I152">
            <v>44933</v>
          </cell>
          <cell r="J152">
            <v>26118</v>
          </cell>
          <cell r="K152"/>
          <cell r="L152" t="str">
            <v>Islam</v>
          </cell>
          <cell r="M152" t="str">
            <v>Sidoarjo</v>
          </cell>
          <cell r="N152" t="str">
            <v>Produksi</v>
          </cell>
          <cell r="O152" t="str">
            <v>Proses</v>
          </cell>
          <cell r="P152" t="str">
            <v>Supervisor</v>
          </cell>
          <cell r="Q152" t="str">
            <v>D3</v>
          </cell>
          <cell r="R152" t="str">
            <v>Grup Shift</v>
          </cell>
          <cell r="S152" t="str">
            <v>Aktif</v>
          </cell>
          <cell r="T152"/>
          <cell r="U152" t="str">
            <v>AP240526</v>
          </cell>
          <cell r="V152" t="str">
            <v>Instant</v>
          </cell>
          <cell r="W152">
            <v>55</v>
          </cell>
          <cell r="X152">
            <v>34</v>
          </cell>
          <cell r="Y152" t="str">
            <v>K/1</v>
          </cell>
          <cell r="Z152">
            <v>3</v>
          </cell>
          <cell r="AA152" t="str">
            <v>Ya</v>
          </cell>
          <cell r="AB152" t="str">
            <v>Ya</v>
          </cell>
          <cell r="AC152" t="str">
            <v>Ya</v>
          </cell>
        </row>
        <row r="153">
          <cell r="B153" t="str">
            <v>20037</v>
          </cell>
          <cell r="C153" t="str">
            <v>Muntolib</v>
          </cell>
          <cell r="D153" t="str">
            <v>Sidorogo RT.1 RW.6 Kel. Trosobo - Kec. Taman</v>
          </cell>
          <cell r="E153" t="str">
            <v>Sidoarjo</v>
          </cell>
          <cell r="F153"/>
          <cell r="G153" t="str">
            <v>3515131804700004</v>
          </cell>
          <cell r="H153" t="str">
            <v>085785249234</v>
          </cell>
          <cell r="I153">
            <v>44933</v>
          </cell>
          <cell r="J153" t="e">
            <v>#VALUE!</v>
          </cell>
          <cell r="K153"/>
          <cell r="L153" t="str">
            <v>Islam</v>
          </cell>
          <cell r="M153" t="str">
            <v>Sidoarjo</v>
          </cell>
          <cell r="N153" t="str">
            <v>Produksi</v>
          </cell>
          <cell r="O153" t="str">
            <v>Proses</v>
          </cell>
          <cell r="P153" t="str">
            <v>Supervisor</v>
          </cell>
          <cell r="Q153" t="str">
            <v>D3</v>
          </cell>
          <cell r="R153" t="str">
            <v>Grup Shift</v>
          </cell>
          <cell r="S153" t="str">
            <v>Aktif</v>
          </cell>
          <cell r="T153"/>
          <cell r="U153" t="str">
            <v>SP240526</v>
          </cell>
          <cell r="V153" t="str">
            <v>Instant</v>
          </cell>
          <cell r="W153">
            <v>56</v>
          </cell>
          <cell r="X153">
            <v>34</v>
          </cell>
          <cell r="Y153" t="str">
            <v>K/1</v>
          </cell>
          <cell r="Z153">
            <v>3</v>
          </cell>
          <cell r="AA153" t="str">
            <v>Ya</v>
          </cell>
          <cell r="AB153" t="str">
            <v>Ya</v>
          </cell>
          <cell r="AC153" t="str">
            <v>Ya</v>
          </cell>
        </row>
        <row r="154">
          <cell r="B154" t="str">
            <v>20210</v>
          </cell>
          <cell r="C154" t="str">
            <v>Zainal Abidin</v>
          </cell>
          <cell r="D154" t="str">
            <v>Dsn. Nambangan Rt. 21/06 Ds. Ngimbangan Mojosari</v>
          </cell>
          <cell r="E154" t="str">
            <v>Mojokerto</v>
          </cell>
          <cell r="F154"/>
          <cell r="G154" t="str">
            <v>3516080808770005</v>
          </cell>
          <cell r="H154" t="str">
            <v>081231319499</v>
          </cell>
          <cell r="I154">
            <v>44933</v>
          </cell>
          <cell r="J154">
            <v>28345</v>
          </cell>
          <cell r="K154"/>
          <cell r="L154" t="str">
            <v>Islam</v>
          </cell>
          <cell r="M154" t="str">
            <v>Sidoarjo</v>
          </cell>
          <cell r="N154" t="str">
            <v>Produksi</v>
          </cell>
          <cell r="O154" t="str">
            <v>Proses</v>
          </cell>
          <cell r="P154" t="str">
            <v>Supervisor</v>
          </cell>
          <cell r="Q154" t="str">
            <v>D3</v>
          </cell>
          <cell r="R154" t="str">
            <v>Grup Shift</v>
          </cell>
          <cell r="S154" t="str">
            <v>Aktif</v>
          </cell>
          <cell r="T154"/>
          <cell r="U154" t="str">
            <v>BP240526</v>
          </cell>
          <cell r="V154" t="str">
            <v>Instant</v>
          </cell>
          <cell r="W154">
            <v>48</v>
          </cell>
          <cell r="X154">
            <v>29</v>
          </cell>
          <cell r="Y154" t="str">
            <v>K/2</v>
          </cell>
          <cell r="Z154">
            <v>3</v>
          </cell>
          <cell r="AA154" t="str">
            <v>Ya</v>
          </cell>
          <cell r="AB154" t="str">
            <v>Ya</v>
          </cell>
          <cell r="AC154" t="str">
            <v>Ya</v>
          </cell>
        </row>
        <row r="155">
          <cell r="B155" t="str">
            <v>20259</v>
          </cell>
          <cell r="C155" t="str">
            <v>Muhamad Yusuf</v>
          </cell>
          <cell r="D155" t="str">
            <v>Dsn. Wonokerto barat Rt.01 Rw.01 Kedungwonokerto Prambon</v>
          </cell>
          <cell r="E155" t="str">
            <v>Sidoarjo</v>
          </cell>
          <cell r="F155"/>
          <cell r="G155" t="str">
            <v>3506220407770002</v>
          </cell>
          <cell r="H155" t="str">
            <v>08563313794</v>
          </cell>
          <cell r="I155">
            <v>44933</v>
          </cell>
          <cell r="J155">
            <v>28222</v>
          </cell>
          <cell r="K155"/>
          <cell r="L155" t="str">
            <v>Islam</v>
          </cell>
          <cell r="M155" t="str">
            <v>Sidoarjo</v>
          </cell>
          <cell r="N155" t="str">
            <v>Produksi</v>
          </cell>
          <cell r="O155" t="str">
            <v>Proses</v>
          </cell>
          <cell r="P155" t="str">
            <v>Supervisor</v>
          </cell>
          <cell r="Q155" t="str">
            <v>D3</v>
          </cell>
          <cell r="R155" t="str">
            <v>Grup Shift</v>
          </cell>
          <cell r="S155" t="str">
            <v>Aktif</v>
          </cell>
          <cell r="T155"/>
          <cell r="U155" t="str">
            <v>JP240526</v>
          </cell>
          <cell r="V155" t="str">
            <v>Instant</v>
          </cell>
          <cell r="W155">
            <v>49</v>
          </cell>
          <cell r="X155">
            <v>29</v>
          </cell>
          <cell r="Y155" t="str">
            <v>K/1</v>
          </cell>
          <cell r="Z155">
            <v>3</v>
          </cell>
          <cell r="AA155" t="str">
            <v>Ya</v>
          </cell>
          <cell r="AB155" t="str">
            <v>Ya</v>
          </cell>
          <cell r="AC155" t="str">
            <v>Ya</v>
          </cell>
        </row>
        <row r="156">
          <cell r="B156" t="str">
            <v>20246</v>
          </cell>
          <cell r="C156" t="str">
            <v>Subagyo</v>
          </cell>
          <cell r="D156" t="str">
            <v>Dsn. Sidorenggo RT.32 RW.8 Kel. Sidorejo - Kec. Krian</v>
          </cell>
          <cell r="E156" t="str">
            <v>Sidoarjo</v>
          </cell>
          <cell r="F156"/>
          <cell r="G156" t="str">
            <v>3515112002770002</v>
          </cell>
          <cell r="H156" t="str">
            <v>085850085096</v>
          </cell>
          <cell r="I156">
            <v>44933</v>
          </cell>
          <cell r="J156" t="e">
            <v>#VALUE!</v>
          </cell>
          <cell r="K156"/>
          <cell r="L156" t="str">
            <v>Islam</v>
          </cell>
          <cell r="M156" t="str">
            <v>Sidoarjo</v>
          </cell>
          <cell r="N156" t="str">
            <v>Produksi</v>
          </cell>
          <cell r="O156" t="str">
            <v>R&amp;G Coffee Dan Audit Roaster</v>
          </cell>
          <cell r="P156" t="str">
            <v>Kepala Regu</v>
          </cell>
          <cell r="Q156" t="str">
            <v>B2</v>
          </cell>
          <cell r="R156" t="str">
            <v>Grup Shift</v>
          </cell>
          <cell r="S156" t="str">
            <v>Aktif</v>
          </cell>
          <cell r="T156"/>
          <cell r="U156" t="str">
            <v>RSB240526</v>
          </cell>
          <cell r="V156" t="str">
            <v>Ground</v>
          </cell>
          <cell r="W156">
            <v>49</v>
          </cell>
          <cell r="X156">
            <v>29</v>
          </cell>
          <cell r="Y156" t="str">
            <v>K/2</v>
          </cell>
          <cell r="Z156">
            <v>3</v>
          </cell>
          <cell r="AA156" t="str">
            <v>Ya</v>
          </cell>
          <cell r="AB156" t="str">
            <v>Ya</v>
          </cell>
          <cell r="AC156" t="str">
            <v>Ya</v>
          </cell>
        </row>
        <row r="157">
          <cell r="B157" t="str">
            <v>20159</v>
          </cell>
          <cell r="C157" t="str">
            <v>Heru Mujiono</v>
          </cell>
          <cell r="D157" t="str">
            <v>Bendotretek RT.5 RW.1 Kel. Bendotretek - Kec. Prambon</v>
          </cell>
          <cell r="E157" t="str">
            <v>Sidoarjo</v>
          </cell>
          <cell r="F157"/>
          <cell r="G157" t="str">
            <v>3515022505780003</v>
          </cell>
          <cell r="H157" t="str">
            <v>081330503797</v>
          </cell>
          <cell r="I157">
            <v>44933</v>
          </cell>
          <cell r="J157" t="e">
            <v>#VALUE!</v>
          </cell>
          <cell r="K157"/>
          <cell r="L157" t="str">
            <v>Islam</v>
          </cell>
          <cell r="M157" t="str">
            <v>Sidoarjo</v>
          </cell>
          <cell r="N157" t="str">
            <v>Produksi</v>
          </cell>
          <cell r="O157" t="str">
            <v>R&amp;G Coffee Dan Audit Roaster</v>
          </cell>
          <cell r="P157" t="str">
            <v>Operator</v>
          </cell>
          <cell r="Q157" t="str">
            <v>B1</v>
          </cell>
          <cell r="R157" t="str">
            <v>Grup Shift</v>
          </cell>
          <cell r="S157" t="str">
            <v>Aktif</v>
          </cell>
          <cell r="T157"/>
          <cell r="U157" t="str">
            <v>RSA240526</v>
          </cell>
          <cell r="V157" t="str">
            <v>Ground</v>
          </cell>
          <cell r="W157">
            <v>48</v>
          </cell>
          <cell r="X157">
            <v>29</v>
          </cell>
          <cell r="Y157" t="str">
            <v>K/0</v>
          </cell>
          <cell r="Z157">
            <v>3</v>
          </cell>
          <cell r="AA157" t="str">
            <v>Ya</v>
          </cell>
          <cell r="AB157" t="str">
            <v>Ya</v>
          </cell>
          <cell r="AC157" t="str">
            <v>Ya</v>
          </cell>
        </row>
        <row r="158">
          <cell r="B158" t="str">
            <v>20347</v>
          </cell>
          <cell r="C158" t="str">
            <v>Totok Suprapto</v>
          </cell>
          <cell r="D158" t="str">
            <v>Dusun Tengahan RT.9 RW.2 Kel. Kalimati - Kec. Tarik</v>
          </cell>
          <cell r="E158" t="str">
            <v>Sidoarjo</v>
          </cell>
          <cell r="F158"/>
          <cell r="G158" t="str">
            <v>3515011504710003</v>
          </cell>
          <cell r="H158" t="str">
            <v>085745735573</v>
          </cell>
          <cell r="I158">
            <v>44933</v>
          </cell>
          <cell r="J158" t="e">
            <v>#VALUE!</v>
          </cell>
          <cell r="K158"/>
          <cell r="L158" t="str">
            <v>Islam</v>
          </cell>
          <cell r="M158" t="str">
            <v>Sidoarjo</v>
          </cell>
          <cell r="N158" t="str">
            <v>Produksi</v>
          </cell>
          <cell r="O158" t="str">
            <v>R&amp;G Coffee Dan Audit Roaster</v>
          </cell>
          <cell r="P158" t="str">
            <v>Operator</v>
          </cell>
          <cell r="Q158" t="str">
            <v>B1</v>
          </cell>
          <cell r="R158" t="str">
            <v>Grup Shift</v>
          </cell>
          <cell r="S158" t="str">
            <v>Aktif</v>
          </cell>
          <cell r="T158"/>
          <cell r="U158" t="str">
            <v>RSA240526</v>
          </cell>
          <cell r="V158" t="str">
            <v>Ground</v>
          </cell>
          <cell r="W158">
            <v>55</v>
          </cell>
          <cell r="X158">
            <v>29</v>
          </cell>
          <cell r="Y158" t="str">
            <v>K/1</v>
          </cell>
          <cell r="Z158">
            <v>3</v>
          </cell>
          <cell r="AA158" t="str">
            <v>Ya</v>
          </cell>
          <cell r="AB158" t="str">
            <v>Ya</v>
          </cell>
          <cell r="AC158" t="str">
            <v>Ya</v>
          </cell>
        </row>
        <row r="159">
          <cell r="B159" t="str">
            <v>20873</v>
          </cell>
          <cell r="C159" t="str">
            <v>Febriansyah Ramadani</v>
          </cell>
          <cell r="D159" t="str">
            <v>Kendangsari 105 RT.04 RW.04 Kendangsari - Tenggilis Mejoyo</v>
          </cell>
          <cell r="E159" t="str">
            <v>Surabaya (60292)</v>
          </cell>
          <cell r="F159"/>
          <cell r="G159" t="str">
            <v>3578240602960001</v>
          </cell>
          <cell r="H159" t="str">
            <v>081335755356</v>
          </cell>
          <cell r="I159">
            <v>44933</v>
          </cell>
          <cell r="J159">
            <v>35218</v>
          </cell>
          <cell r="K159"/>
          <cell r="L159" t="str">
            <v>Islam</v>
          </cell>
          <cell r="M159" t="str">
            <v>Sidoarjo</v>
          </cell>
          <cell r="N159" t="str">
            <v>Produksi</v>
          </cell>
          <cell r="O159" t="str">
            <v>R&amp;G Coffee Dan Audit Roaster</v>
          </cell>
          <cell r="P159" t="str">
            <v>Operator</v>
          </cell>
          <cell r="Q159" t="str">
            <v>B1</v>
          </cell>
          <cell r="R159" t="str">
            <v>Grup Shift</v>
          </cell>
          <cell r="S159" t="str">
            <v>Aktif</v>
          </cell>
          <cell r="T159"/>
          <cell r="U159" t="str">
            <v>RSB240526</v>
          </cell>
          <cell r="V159" t="str">
            <v>Instant</v>
          </cell>
          <cell r="W159">
            <v>30</v>
          </cell>
          <cell r="X159">
            <v>3</v>
          </cell>
          <cell r="Y159" t="str">
            <v>K/0</v>
          </cell>
          <cell r="Z159">
            <v>3</v>
          </cell>
          <cell r="AA159" t="str">
            <v>Ya</v>
          </cell>
          <cell r="AB159" t="str">
            <v>Ya</v>
          </cell>
          <cell r="AC159" t="str">
            <v>Ya</v>
          </cell>
        </row>
        <row r="160">
          <cell r="B160" t="str">
            <v>20014</v>
          </cell>
          <cell r="C160" t="str">
            <v>Mochamad Basuni</v>
          </cell>
          <cell r="D160" t="str">
            <v>Jabaran RT.2 RW.1 Kel. Jabaran - Kec. Balongbendo</v>
          </cell>
          <cell r="E160" t="str">
            <v>Sidoarjo</v>
          </cell>
          <cell r="F160"/>
          <cell r="G160" t="str">
            <v>3515123103680001</v>
          </cell>
          <cell r="H160" t="str">
            <v>085608988682</v>
          </cell>
          <cell r="I160">
            <v>44933</v>
          </cell>
          <cell r="J160" t="e">
            <v>#VALUE!</v>
          </cell>
          <cell r="K160"/>
          <cell r="L160" t="str">
            <v>Islam</v>
          </cell>
          <cell r="M160" t="str">
            <v>Sidoarjo</v>
          </cell>
          <cell r="N160" t="str">
            <v>Produksi</v>
          </cell>
          <cell r="O160" t="str">
            <v>Roaster</v>
          </cell>
          <cell r="P160" t="str">
            <v>Kabag.</v>
          </cell>
          <cell r="Q160" t="str">
            <v>III</v>
          </cell>
          <cell r="R160" t="str">
            <v>Shift</v>
          </cell>
          <cell r="S160" t="str">
            <v>Aktif</v>
          </cell>
          <cell r="T160" t="str">
            <v>NS1</v>
          </cell>
          <cell r="U160"/>
          <cell r="V160" t="str">
            <v>Ground</v>
          </cell>
          <cell r="W160">
            <v>58</v>
          </cell>
          <cell r="X160">
            <v>34</v>
          </cell>
          <cell r="Y160" t="str">
            <v>K/1</v>
          </cell>
          <cell r="Z160">
            <v>3</v>
          </cell>
          <cell r="AA160" t="str">
            <v>Ya</v>
          </cell>
          <cell r="AB160" t="str">
            <v>Ya</v>
          </cell>
          <cell r="AC160" t="str">
            <v>Ya</v>
          </cell>
        </row>
        <row r="161">
          <cell r="B161" t="str">
            <v>20153</v>
          </cell>
          <cell r="C161" t="str">
            <v>Suyari</v>
          </cell>
          <cell r="D161" t="str">
            <v>Sidorenggo RT.33 RW.8 Kel. Sidorejo - Kec. Krian</v>
          </cell>
          <cell r="E161" t="str">
            <v>Sidoarjo</v>
          </cell>
          <cell r="F161"/>
          <cell r="G161" t="str">
            <v>3515113103740003</v>
          </cell>
          <cell r="H161" t="str">
            <v>085730789258</v>
          </cell>
          <cell r="I161">
            <v>44933</v>
          </cell>
          <cell r="J161" t="e">
            <v>#VALUE!</v>
          </cell>
          <cell r="K161"/>
          <cell r="L161" t="str">
            <v>Islam</v>
          </cell>
          <cell r="M161" t="str">
            <v>Sidoarjo</v>
          </cell>
          <cell r="N161" t="str">
            <v>Produksi</v>
          </cell>
          <cell r="O161" t="str">
            <v>Roaster</v>
          </cell>
          <cell r="P161" t="str">
            <v>Supervisor</v>
          </cell>
          <cell r="Q161" t="str">
            <v>D2</v>
          </cell>
          <cell r="R161" t="str">
            <v>Grup Shift</v>
          </cell>
          <cell r="S161" t="str">
            <v>Aktif</v>
          </cell>
          <cell r="T161"/>
          <cell r="U161" t="str">
            <v>RSA240526</v>
          </cell>
          <cell r="V161" t="str">
            <v>Ground</v>
          </cell>
          <cell r="W161">
            <v>52</v>
          </cell>
          <cell r="X161">
            <v>29</v>
          </cell>
          <cell r="Y161" t="str">
            <v>K/1</v>
          </cell>
          <cell r="Z161">
            <v>3</v>
          </cell>
          <cell r="AA161" t="str">
            <v>Ya</v>
          </cell>
          <cell r="AB161" t="str">
            <v>Ya</v>
          </cell>
          <cell r="AC161" t="str">
            <v>Ya</v>
          </cell>
        </row>
        <row r="162">
          <cell r="B162" t="str">
            <v>20448</v>
          </cell>
          <cell r="C162" t="str">
            <v>Prihantoro</v>
          </cell>
          <cell r="D162" t="str">
            <v>Ds.Popoh RT.02 RW.01 Popoh - Wonoayu</v>
          </cell>
          <cell r="E162" t="str">
            <v>Sidoarjo</v>
          </cell>
          <cell r="F162"/>
          <cell r="G162" t="str">
            <v>3515102011770002</v>
          </cell>
          <cell r="H162" t="str">
            <v>085731772186</v>
          </cell>
          <cell r="I162">
            <v>44933</v>
          </cell>
          <cell r="J162" t="e">
            <v>#VALUE!</v>
          </cell>
          <cell r="K162"/>
          <cell r="L162" t="str">
            <v>Islam</v>
          </cell>
          <cell r="M162" t="str">
            <v>Sidoarjo</v>
          </cell>
          <cell r="N162" t="str">
            <v>Produksi</v>
          </cell>
          <cell r="O162" t="str">
            <v>Roaster</v>
          </cell>
          <cell r="P162" t="str">
            <v>Supervisor</v>
          </cell>
          <cell r="Q162" t="str">
            <v>D2</v>
          </cell>
          <cell r="R162" t="str">
            <v>Grup Shift</v>
          </cell>
          <cell r="S162" t="str">
            <v>Aktif</v>
          </cell>
          <cell r="T162"/>
          <cell r="U162" t="str">
            <v>RSB240526</v>
          </cell>
          <cell r="V162" t="str">
            <v>Ground</v>
          </cell>
          <cell r="W162">
            <v>48</v>
          </cell>
          <cell r="X162">
            <v>28</v>
          </cell>
          <cell r="Y162" t="str">
            <v>K/1</v>
          </cell>
          <cell r="Z162">
            <v>3</v>
          </cell>
          <cell r="AA162" t="str">
            <v>Ya</v>
          </cell>
          <cell r="AB162" t="str">
            <v>Ya</v>
          </cell>
          <cell r="AC162" t="str">
            <v>Ya</v>
          </cell>
        </row>
        <row r="163">
          <cell r="B163" t="str">
            <v>20185</v>
          </cell>
          <cell r="C163" t="str">
            <v>Krisdi</v>
          </cell>
          <cell r="D163" t="str">
            <v>Kramatjegu RT.4 RW.1 Kel. Kramatjegu - Kec. Taman</v>
          </cell>
          <cell r="E163" t="str">
            <v>Sidoarjo</v>
          </cell>
          <cell r="F163"/>
          <cell r="G163" t="str">
            <v>3515132510760006</v>
          </cell>
          <cell r="H163" t="str">
            <v>081225004939</v>
          </cell>
          <cell r="I163">
            <v>44933</v>
          </cell>
          <cell r="J163" t="e">
            <v>#VALUE!</v>
          </cell>
          <cell r="K163"/>
          <cell r="L163" t="str">
            <v>Islam</v>
          </cell>
          <cell r="M163" t="str">
            <v>Sidoarjo</v>
          </cell>
          <cell r="N163" t="str">
            <v>Produksi</v>
          </cell>
          <cell r="O163" t="str">
            <v>Separator</v>
          </cell>
          <cell r="P163" t="str">
            <v>Operator</v>
          </cell>
          <cell r="Q163" t="str">
            <v>B1</v>
          </cell>
          <cell r="R163" t="str">
            <v>Grup Shift</v>
          </cell>
          <cell r="S163" t="str">
            <v>Aktif</v>
          </cell>
          <cell r="T163"/>
          <cell r="U163" t="str">
            <v>BP240526</v>
          </cell>
          <cell r="V163" t="str">
            <v>Instant</v>
          </cell>
          <cell r="W163">
            <v>49</v>
          </cell>
          <cell r="X163">
            <v>29</v>
          </cell>
          <cell r="Y163" t="str">
            <v>K/2</v>
          </cell>
          <cell r="Z163">
            <v>3</v>
          </cell>
          <cell r="AA163" t="str">
            <v>Ya</v>
          </cell>
          <cell r="AB163" t="str">
            <v>Ya</v>
          </cell>
          <cell r="AC163" t="str">
            <v>Ya</v>
          </cell>
        </row>
        <row r="164">
          <cell r="B164" t="str">
            <v>20768</v>
          </cell>
          <cell r="C164" t="str">
            <v>Aldi Yoviansyah Widiyanto</v>
          </cell>
          <cell r="D164" t="str">
            <v>Ngagrok RT.01 RW.05 Ds. Tempel Kec. Krian</v>
          </cell>
          <cell r="E164" t="str">
            <v>Sidoarjo</v>
          </cell>
          <cell r="F164"/>
          <cell r="G164" t="str">
            <v>3515112106990001</v>
          </cell>
          <cell r="H164" t="str">
            <v>0895627543033</v>
          </cell>
          <cell r="I164">
            <v>44933</v>
          </cell>
          <cell r="J164" t="e">
            <v>#VALUE!</v>
          </cell>
          <cell r="K164"/>
          <cell r="L164" t="str">
            <v>Islam</v>
          </cell>
          <cell r="M164" t="str">
            <v>Sidoarjo</v>
          </cell>
          <cell r="N164" t="str">
            <v>Produksi</v>
          </cell>
          <cell r="O164" t="str">
            <v>Separator</v>
          </cell>
          <cell r="P164" t="str">
            <v>Operator</v>
          </cell>
          <cell r="Q164" t="str">
            <v>B1</v>
          </cell>
          <cell r="R164" t="str">
            <v>Grup Shift</v>
          </cell>
          <cell r="S164" t="str">
            <v>Aktif</v>
          </cell>
          <cell r="T164"/>
          <cell r="U164" t="str">
            <v>SP240526</v>
          </cell>
          <cell r="V164" t="str">
            <v>Instant</v>
          </cell>
          <cell r="W164">
            <v>27</v>
          </cell>
          <cell r="X164">
            <v>8</v>
          </cell>
          <cell r="Y164" t="str">
            <v>K/1</v>
          </cell>
          <cell r="Z164">
            <v>3</v>
          </cell>
          <cell r="AA164" t="str">
            <v>Ya</v>
          </cell>
          <cell r="AB164" t="str">
            <v>Ya</v>
          </cell>
          <cell r="AC164" t="str">
            <v>Ya</v>
          </cell>
        </row>
        <row r="165">
          <cell r="B165" t="str">
            <v>20783</v>
          </cell>
          <cell r="C165" t="str">
            <v>Zoga</v>
          </cell>
          <cell r="D165" t="str">
            <v>KOS ABAH ASROF, BARENGKRAJAN RT06 RW02 KRIAN</v>
          </cell>
          <cell r="E165" t="str">
            <v>Sidoarjo</v>
          </cell>
          <cell r="F165"/>
          <cell r="G165" t="str">
            <v>3518101705980003</v>
          </cell>
          <cell r="H165" t="str">
            <v>085815764772</v>
          </cell>
          <cell r="I165">
            <v>44933</v>
          </cell>
          <cell r="J165" t="e">
            <v>#VALUE!</v>
          </cell>
          <cell r="K165"/>
          <cell r="L165" t="str">
            <v>Islam</v>
          </cell>
          <cell r="M165" t="str">
            <v>Sidoarjo</v>
          </cell>
          <cell r="N165" t="str">
            <v>Produksi</v>
          </cell>
          <cell r="O165" t="str">
            <v>Separator</v>
          </cell>
          <cell r="P165" t="str">
            <v>Operator</v>
          </cell>
          <cell r="Q165" t="str">
            <v>B1</v>
          </cell>
          <cell r="R165" t="str">
            <v>Grup Shift</v>
          </cell>
          <cell r="S165" t="str">
            <v>Aktif</v>
          </cell>
          <cell r="T165"/>
          <cell r="U165" t="str">
            <v>BP240526</v>
          </cell>
          <cell r="V165" t="str">
            <v>Instant</v>
          </cell>
          <cell r="W165">
            <v>28</v>
          </cell>
          <cell r="X165">
            <v>6</v>
          </cell>
          <cell r="Y165" t="str">
            <v>T/0</v>
          </cell>
          <cell r="Z165">
            <v>3</v>
          </cell>
          <cell r="AA165" t="str">
            <v>Ya</v>
          </cell>
          <cell r="AB165" t="str">
            <v>Ya</v>
          </cell>
          <cell r="AC165" t="str">
            <v>Ya</v>
          </cell>
        </row>
        <row r="166">
          <cell r="B166" t="str">
            <v>20796</v>
          </cell>
          <cell r="C166" t="str">
            <v>Mohamad Romadhon</v>
          </cell>
          <cell r="D166" t="str">
            <v>Sidosermo IV Gg.07 No.4A</v>
          </cell>
          <cell r="E166" t="str">
            <v>Surabaya</v>
          </cell>
          <cell r="F166"/>
          <cell r="G166" t="str">
            <v>3578020312000010</v>
          </cell>
          <cell r="H166" t="str">
            <v>083856468596</v>
          </cell>
          <cell r="I166">
            <v>44933</v>
          </cell>
          <cell r="J166">
            <v>36597</v>
          </cell>
          <cell r="K166"/>
          <cell r="L166" t="str">
            <v>Islam</v>
          </cell>
          <cell r="M166" t="str">
            <v>Sidoarjo</v>
          </cell>
          <cell r="N166" t="str">
            <v>Produksi</v>
          </cell>
          <cell r="O166" t="str">
            <v>Separator</v>
          </cell>
          <cell r="P166" t="str">
            <v>Operator</v>
          </cell>
          <cell r="Q166" t="str">
            <v>B1</v>
          </cell>
          <cell r="R166" t="str">
            <v>Grup Shift</v>
          </cell>
          <cell r="S166" t="str">
            <v>Aktif</v>
          </cell>
          <cell r="T166"/>
          <cell r="U166" t="str">
            <v>SP240526</v>
          </cell>
          <cell r="V166" t="str">
            <v>Instant</v>
          </cell>
          <cell r="W166">
            <v>25</v>
          </cell>
          <cell r="X166">
            <v>6</v>
          </cell>
          <cell r="Y166" t="str">
            <v>K/0</v>
          </cell>
          <cell r="Z166">
            <v>3</v>
          </cell>
          <cell r="AA166" t="str">
            <v>Ya</v>
          </cell>
          <cell r="AB166" t="str">
            <v>Ya</v>
          </cell>
          <cell r="AC166" t="str">
            <v>Ya</v>
          </cell>
        </row>
        <row r="167">
          <cell r="B167" t="str">
            <v>20802</v>
          </cell>
          <cell r="C167" t="str">
            <v>Anjas Ilham Pramudiansyah</v>
          </cell>
          <cell r="D167" t="str">
            <v>Dsn Dungus Gg. Melati III No.02 Rt.12 Rw.03 Ds. Sukodono</v>
          </cell>
          <cell r="E167" t="str">
            <v>Sidoarjo</v>
          </cell>
          <cell r="F167"/>
          <cell r="G167" t="str">
            <v>3578172309990002</v>
          </cell>
          <cell r="H167" t="str">
            <v>089678005022, 081335538213</v>
          </cell>
          <cell r="I167">
            <v>44933</v>
          </cell>
          <cell r="J167" t="e">
            <v>#VALUE!</v>
          </cell>
          <cell r="K167"/>
          <cell r="L167" t="str">
            <v>Islam</v>
          </cell>
          <cell r="M167" t="str">
            <v>Sidoarjo</v>
          </cell>
          <cell r="N167" t="str">
            <v>Produksi</v>
          </cell>
          <cell r="O167" t="str">
            <v>Separator</v>
          </cell>
          <cell r="P167" t="str">
            <v>Operator</v>
          </cell>
          <cell r="Q167" t="str">
            <v>B1</v>
          </cell>
          <cell r="R167" t="str">
            <v>Grup Shift</v>
          </cell>
          <cell r="S167" t="str">
            <v>Aktif</v>
          </cell>
          <cell r="T167"/>
          <cell r="U167" t="str">
            <v>JP240526</v>
          </cell>
          <cell r="V167" t="str">
            <v>Instant</v>
          </cell>
          <cell r="W167">
            <v>26</v>
          </cell>
          <cell r="X167">
            <v>6</v>
          </cell>
          <cell r="Y167" t="str">
            <v>T/0</v>
          </cell>
          <cell r="Z167">
            <v>3</v>
          </cell>
          <cell r="AA167" t="str">
            <v>Ya</v>
          </cell>
          <cell r="AB167" t="str">
            <v>Ya</v>
          </cell>
          <cell r="AC167" t="str">
            <v>Ya</v>
          </cell>
        </row>
        <row r="168">
          <cell r="B168" t="str">
            <v>20814</v>
          </cell>
          <cell r="C168" t="str">
            <v>Muhammad Ardiansyah</v>
          </cell>
          <cell r="D168" t="str">
            <v>Jati Swaluh RT.03 RW.03 Ds. Jatikalang - Pambon</v>
          </cell>
          <cell r="E168" t="str">
            <v>Sidoarjo</v>
          </cell>
          <cell r="F168"/>
          <cell r="G168" t="str">
            <v>3515020103000005</v>
          </cell>
          <cell r="H168" t="str">
            <v>082228292810</v>
          </cell>
          <cell r="I168">
            <v>44933</v>
          </cell>
          <cell r="J168">
            <v>36528</v>
          </cell>
          <cell r="K168"/>
          <cell r="L168" t="str">
            <v>Islam</v>
          </cell>
          <cell r="M168" t="str">
            <v>Sidoarjo</v>
          </cell>
          <cell r="N168" t="str">
            <v>Produksi</v>
          </cell>
          <cell r="O168" t="str">
            <v>Separator</v>
          </cell>
          <cell r="P168" t="str">
            <v>Operator</v>
          </cell>
          <cell r="Q168" t="str">
            <v>B1</v>
          </cell>
          <cell r="R168" t="str">
            <v>Grup Shift</v>
          </cell>
          <cell r="S168" t="str">
            <v>Aktif</v>
          </cell>
          <cell r="T168"/>
          <cell r="U168" t="str">
            <v>JP240526</v>
          </cell>
          <cell r="V168" t="str">
            <v>Instant</v>
          </cell>
          <cell r="W168">
            <v>26</v>
          </cell>
          <cell r="X168">
            <v>6</v>
          </cell>
          <cell r="Y168" t="str">
            <v>K/1</v>
          </cell>
          <cell r="Z168">
            <v>3</v>
          </cell>
          <cell r="AA168" t="str">
            <v>Ya</v>
          </cell>
          <cell r="AB168" t="str">
            <v>Ya</v>
          </cell>
          <cell r="AC168" t="str">
            <v>Ya</v>
          </cell>
        </row>
        <row r="169">
          <cell r="B169" t="str">
            <v>20865</v>
          </cell>
          <cell r="C169" t="str">
            <v>Ghoza Nova Ragaris</v>
          </cell>
          <cell r="D169" t="str">
            <v>Gedangklutuk RT.02 RW.01 Gempolklutuk - Tarik</v>
          </cell>
          <cell r="E169" t="str">
            <v>Sidoarjo</v>
          </cell>
          <cell r="F169"/>
          <cell r="G169" t="str">
            <v>3515010611980001</v>
          </cell>
          <cell r="H169" t="str">
            <v>081946665510</v>
          </cell>
          <cell r="I169">
            <v>44933</v>
          </cell>
          <cell r="J169">
            <v>35957</v>
          </cell>
          <cell r="K169"/>
          <cell r="L169" t="str">
            <v>Islam</v>
          </cell>
          <cell r="M169" t="str">
            <v>Sidoarjo</v>
          </cell>
          <cell r="N169" t="str">
            <v>Produksi</v>
          </cell>
          <cell r="O169" t="str">
            <v>Separator</v>
          </cell>
          <cell r="P169" t="str">
            <v>Operator</v>
          </cell>
          <cell r="Q169" t="str">
            <v>A1</v>
          </cell>
          <cell r="R169" t="str">
            <v>Grup Shift</v>
          </cell>
          <cell r="S169" t="str">
            <v>Aktif</v>
          </cell>
          <cell r="T169"/>
          <cell r="U169" t="str">
            <v>JP240526</v>
          </cell>
          <cell r="V169" t="str">
            <v>Instant</v>
          </cell>
          <cell r="W169">
            <v>27</v>
          </cell>
          <cell r="X169">
            <v>3</v>
          </cell>
          <cell r="Y169" t="str">
            <v>T/0</v>
          </cell>
          <cell r="Z169">
            <v>3</v>
          </cell>
          <cell r="AA169" t="str">
            <v>Ya</v>
          </cell>
          <cell r="AB169" t="str">
            <v>Ya</v>
          </cell>
          <cell r="AC169" t="str">
            <v>Ya</v>
          </cell>
        </row>
        <row r="170">
          <cell r="B170" t="str">
            <v>20880</v>
          </cell>
          <cell r="C170" t="str">
            <v>Mohammad Arbi Zainul Bahar Fatchurrohman</v>
          </cell>
          <cell r="D170" t="str">
            <v>Dsn. Sobowidoro Ds. Trosobo Taman</v>
          </cell>
          <cell r="E170" t="str">
            <v>Sidoarjo</v>
          </cell>
          <cell r="F170"/>
          <cell r="G170" t="str">
            <v>3505041411970002</v>
          </cell>
          <cell r="H170" t="str">
            <v>087840141911</v>
          </cell>
          <cell r="I170">
            <v>44933</v>
          </cell>
          <cell r="J170" t="e">
            <v>#VALUE!</v>
          </cell>
          <cell r="K170"/>
          <cell r="L170" t="str">
            <v>Islam</v>
          </cell>
          <cell r="M170" t="str">
            <v>Sidoarjo</v>
          </cell>
          <cell r="N170" t="str">
            <v>Produksi</v>
          </cell>
          <cell r="O170" t="str">
            <v>Separator</v>
          </cell>
          <cell r="P170" t="str">
            <v>Operator</v>
          </cell>
          <cell r="Q170" t="str">
            <v>A1</v>
          </cell>
          <cell r="R170" t="str">
            <v>Grup Shift</v>
          </cell>
          <cell r="S170" t="str">
            <v>Aktif</v>
          </cell>
          <cell r="T170"/>
          <cell r="U170" t="str">
            <v>AP240526</v>
          </cell>
          <cell r="V170" t="str">
            <v>Instant</v>
          </cell>
          <cell r="W170">
            <v>28</v>
          </cell>
          <cell r="X170">
            <v>3</v>
          </cell>
          <cell r="Y170" t="str">
            <v>K/1</v>
          </cell>
          <cell r="Z170">
            <v>3</v>
          </cell>
          <cell r="AA170" t="str">
            <v>Ya</v>
          </cell>
          <cell r="AB170" t="str">
            <v>Ya</v>
          </cell>
          <cell r="AC170" t="str">
            <v>Ya</v>
          </cell>
        </row>
        <row r="171">
          <cell r="B171" t="str">
            <v>20055</v>
          </cell>
          <cell r="C171" t="str">
            <v>Jumali</v>
          </cell>
          <cell r="D171" t="str">
            <v>Dusun Pandean RT.6 RW.1 Kel. Kalimati - Kec. Tarik</v>
          </cell>
          <cell r="E171" t="str">
            <v>Sidoarjo</v>
          </cell>
          <cell r="F171"/>
          <cell r="G171" t="str">
            <v>3515010708710002</v>
          </cell>
          <cell r="H171" t="str">
            <v>081331887629</v>
          </cell>
          <cell r="I171">
            <v>44933</v>
          </cell>
          <cell r="J171">
            <v>26122</v>
          </cell>
          <cell r="K171"/>
          <cell r="L171" t="str">
            <v>Islam</v>
          </cell>
          <cell r="M171" t="str">
            <v>Sidoarjo</v>
          </cell>
          <cell r="N171" t="str">
            <v>Produksi</v>
          </cell>
          <cell r="O171" t="str">
            <v>Spray Dried</v>
          </cell>
          <cell r="P171" t="str">
            <v>Kepala Regu</v>
          </cell>
          <cell r="Q171" t="str">
            <v>B2</v>
          </cell>
          <cell r="R171" t="str">
            <v>Grup Shift</v>
          </cell>
          <cell r="S171" t="str">
            <v>Aktif</v>
          </cell>
          <cell r="T171"/>
          <cell r="U171" t="str">
            <v>SP240526</v>
          </cell>
          <cell r="V171" t="str">
            <v>Instant</v>
          </cell>
          <cell r="W171">
            <v>54</v>
          </cell>
          <cell r="X171">
            <v>33</v>
          </cell>
          <cell r="Y171" t="str">
            <v>K/1</v>
          </cell>
          <cell r="Z171">
            <v>3</v>
          </cell>
          <cell r="AA171" t="str">
            <v>Ya</v>
          </cell>
          <cell r="AB171" t="str">
            <v>Ya</v>
          </cell>
          <cell r="AC171" t="str">
            <v>Ya</v>
          </cell>
        </row>
        <row r="172">
          <cell r="B172" t="str">
            <v>20212</v>
          </cell>
          <cell r="C172" t="str">
            <v>Tutanto</v>
          </cell>
          <cell r="D172" t="str">
            <v>Sidorogo Rt.05 Rw.05 Trosobo Taman</v>
          </cell>
          <cell r="E172" t="str">
            <v>Sidoarjo</v>
          </cell>
          <cell r="F172"/>
          <cell r="G172" t="str">
            <v>3515130505780022</v>
          </cell>
          <cell r="H172" t="str">
            <v>085850869885</v>
          </cell>
          <cell r="I172">
            <v>44933</v>
          </cell>
          <cell r="J172">
            <v>28615</v>
          </cell>
          <cell r="K172"/>
          <cell r="L172" t="str">
            <v>Islam</v>
          </cell>
          <cell r="M172" t="str">
            <v>Sidoarjo</v>
          </cell>
          <cell r="N172" t="str">
            <v>Produksi</v>
          </cell>
          <cell r="O172" t="str">
            <v>Spray Dried</v>
          </cell>
          <cell r="P172" t="str">
            <v>Kepala Regu</v>
          </cell>
          <cell r="Q172" t="str">
            <v>B2</v>
          </cell>
          <cell r="R172" t="str">
            <v>Grup Shift</v>
          </cell>
          <cell r="S172" t="str">
            <v>Aktif</v>
          </cell>
          <cell r="T172"/>
          <cell r="U172" t="str">
            <v>AP240526</v>
          </cell>
          <cell r="V172" t="str">
            <v>Instant</v>
          </cell>
          <cell r="W172">
            <v>48</v>
          </cell>
          <cell r="X172">
            <v>29</v>
          </cell>
          <cell r="Y172" t="str">
            <v>K/2</v>
          </cell>
          <cell r="Z172">
            <v>3</v>
          </cell>
          <cell r="AA172" t="str">
            <v>Ya</v>
          </cell>
          <cell r="AB172" t="str">
            <v>Ya</v>
          </cell>
          <cell r="AC172" t="str">
            <v>Ya</v>
          </cell>
        </row>
        <row r="173">
          <cell r="B173" t="str">
            <v>20471</v>
          </cell>
          <cell r="C173" t="str">
            <v>Choirul Umam</v>
          </cell>
          <cell r="D173" t="str">
            <v>Kepuhsari  RT.1 RW.3 Kel. Gagang kepuhsari - Kec. Balongbendo</v>
          </cell>
          <cell r="E173" t="str">
            <v>Sidoarjo</v>
          </cell>
          <cell r="F173"/>
          <cell r="G173" t="str">
            <v>3515120604780002</v>
          </cell>
          <cell r="H173" t="str">
            <v>08980668448</v>
          </cell>
          <cell r="I173">
            <v>44933</v>
          </cell>
          <cell r="J173">
            <v>28645</v>
          </cell>
          <cell r="K173"/>
          <cell r="L173" t="str">
            <v>Islam</v>
          </cell>
          <cell r="M173" t="str">
            <v>Sidoarjo</v>
          </cell>
          <cell r="N173" t="str">
            <v>Produksi</v>
          </cell>
          <cell r="O173" t="str">
            <v>Spray Dried</v>
          </cell>
          <cell r="P173" t="str">
            <v>Kepala Regu</v>
          </cell>
          <cell r="Q173" t="str">
            <v>B2</v>
          </cell>
          <cell r="R173" t="str">
            <v>Grup Shift</v>
          </cell>
          <cell r="S173" t="str">
            <v>Aktif</v>
          </cell>
          <cell r="T173"/>
          <cell r="U173" t="str">
            <v>BP240526</v>
          </cell>
          <cell r="V173" t="str">
            <v>Instant</v>
          </cell>
          <cell r="W173">
            <v>48</v>
          </cell>
          <cell r="X173">
            <v>28</v>
          </cell>
          <cell r="Y173" t="str">
            <v>K/3</v>
          </cell>
          <cell r="Z173">
            <v>3</v>
          </cell>
          <cell r="AA173" t="str">
            <v>Ya</v>
          </cell>
          <cell r="AB173" t="str">
            <v>Ya</v>
          </cell>
          <cell r="AC173" t="str">
            <v>Ya</v>
          </cell>
        </row>
        <row r="174">
          <cell r="B174" t="str">
            <v>20564</v>
          </cell>
          <cell r="C174" t="str">
            <v>Suhermanto</v>
          </cell>
          <cell r="D174" t="str">
            <v>Dsn. Ngaglik II RT.06 RW.02 Sedenganmijen - Krian</v>
          </cell>
          <cell r="E174" t="str">
            <v>Sidoarjo</v>
          </cell>
          <cell r="F174"/>
          <cell r="G174" t="str">
            <v>3515111608830008</v>
          </cell>
          <cell r="H174" t="str">
            <v>085850597533</v>
          </cell>
          <cell r="I174">
            <v>44933</v>
          </cell>
          <cell r="J174" t="e">
            <v>#VALUE!</v>
          </cell>
          <cell r="K174"/>
          <cell r="L174" t="str">
            <v>Islam</v>
          </cell>
          <cell r="M174" t="str">
            <v>Sidoarjo</v>
          </cell>
          <cell r="N174" t="str">
            <v>Produksi</v>
          </cell>
          <cell r="O174" t="str">
            <v>Spray Dried</v>
          </cell>
          <cell r="P174" t="str">
            <v>Kepala Regu</v>
          </cell>
          <cell r="Q174" t="str">
            <v>B2</v>
          </cell>
          <cell r="R174" t="str">
            <v>Grup Shift</v>
          </cell>
          <cell r="S174" t="str">
            <v>Aktif</v>
          </cell>
          <cell r="T174"/>
          <cell r="U174" t="str">
            <v>SP240526</v>
          </cell>
          <cell r="V174" t="str">
            <v>Instant</v>
          </cell>
          <cell r="W174">
            <v>42</v>
          </cell>
          <cell r="X174">
            <v>23</v>
          </cell>
          <cell r="Y174" t="str">
            <v>K/3</v>
          </cell>
          <cell r="Z174">
            <v>3</v>
          </cell>
          <cell r="AA174" t="str">
            <v>Ya</v>
          </cell>
          <cell r="AB174" t="str">
            <v>Ya</v>
          </cell>
          <cell r="AC174" t="str">
            <v>Ya</v>
          </cell>
        </row>
        <row r="175">
          <cell r="B175" t="str">
            <v>20789</v>
          </cell>
          <cell r="C175" t="str">
            <v>Muhammad Abdullah</v>
          </cell>
          <cell r="D175" t="str">
            <v>Dsn. Barengkrajan RT.04 RW.02 Ds. Bareng, Krian</v>
          </cell>
          <cell r="E175" t="str">
            <v>Sidoarjo</v>
          </cell>
          <cell r="F175"/>
          <cell r="G175" t="str">
            <v>3515111105000003</v>
          </cell>
          <cell r="H175" t="str">
            <v>089688351689</v>
          </cell>
          <cell r="I175">
            <v>44933</v>
          </cell>
          <cell r="J175">
            <v>36835</v>
          </cell>
          <cell r="K175"/>
          <cell r="L175" t="str">
            <v>Islam</v>
          </cell>
          <cell r="M175" t="str">
            <v>Sidoarjo</v>
          </cell>
          <cell r="N175" t="str">
            <v>Produksi</v>
          </cell>
          <cell r="O175" t="str">
            <v>Spray Dried</v>
          </cell>
          <cell r="P175" t="str">
            <v>Kepala Regu</v>
          </cell>
          <cell r="Q175" t="str">
            <v>B2</v>
          </cell>
          <cell r="R175" t="str">
            <v>Grup Shift</v>
          </cell>
          <cell r="S175" t="str">
            <v>Aktif</v>
          </cell>
          <cell r="T175"/>
          <cell r="U175" t="str">
            <v>AP240526</v>
          </cell>
          <cell r="V175" t="str">
            <v>Instant</v>
          </cell>
          <cell r="W175">
            <v>26</v>
          </cell>
          <cell r="X175">
            <v>6</v>
          </cell>
          <cell r="Y175" t="str">
            <v>T/0</v>
          </cell>
          <cell r="Z175">
            <v>3</v>
          </cell>
          <cell r="AA175" t="str">
            <v>Ya</v>
          </cell>
          <cell r="AB175" t="str">
            <v>Ya</v>
          </cell>
          <cell r="AC175" t="str">
            <v>Ya</v>
          </cell>
        </row>
        <row r="176">
          <cell r="B176" t="str">
            <v>20854</v>
          </cell>
          <cell r="C176" t="str">
            <v>Hairu Ahyar</v>
          </cell>
          <cell r="D176" t="str">
            <v>Jl. Suromurukan VII / 26 Dusun Residen Siter-CSE Rt.36 Rw.09, Surodinawan-Prajuritkulon</v>
          </cell>
          <cell r="E176" t="str">
            <v>Mojokerto</v>
          </cell>
          <cell r="F176"/>
          <cell r="G176" t="str">
            <v>3516140205950001</v>
          </cell>
          <cell r="H176" t="str">
            <v>087863272078</v>
          </cell>
          <cell r="I176">
            <v>44933</v>
          </cell>
          <cell r="J176">
            <v>34735</v>
          </cell>
          <cell r="K176"/>
          <cell r="L176" t="str">
            <v>Islam</v>
          </cell>
          <cell r="M176" t="str">
            <v>Sidoarjo</v>
          </cell>
          <cell r="N176" t="str">
            <v>Produksi</v>
          </cell>
          <cell r="O176" t="str">
            <v>Spray Dried</v>
          </cell>
          <cell r="P176" t="str">
            <v>Kepala Regu</v>
          </cell>
          <cell r="Q176" t="str">
            <v>B2</v>
          </cell>
          <cell r="R176" t="str">
            <v>Grup Shift</v>
          </cell>
          <cell r="S176" t="str">
            <v>Aktif</v>
          </cell>
          <cell r="T176"/>
          <cell r="U176" t="str">
            <v>BP240526</v>
          </cell>
          <cell r="V176" t="str">
            <v>Instant</v>
          </cell>
          <cell r="W176">
            <v>31</v>
          </cell>
          <cell r="X176">
            <v>3</v>
          </cell>
          <cell r="Y176" t="str">
            <v>K/1</v>
          </cell>
          <cell r="Z176">
            <v>3</v>
          </cell>
          <cell r="AA176" t="str">
            <v>Ya</v>
          </cell>
          <cell r="AB176" t="str">
            <v>Ya</v>
          </cell>
          <cell r="AC176" t="str">
            <v>Ya</v>
          </cell>
        </row>
        <row r="177">
          <cell r="B177" t="str">
            <v>20868</v>
          </cell>
          <cell r="C177" t="str">
            <v>Dedik Pri Prastiyo</v>
          </cell>
          <cell r="D177" t="str">
            <v>Ds. Terungkulon RT.01 RW.01 - Krian</v>
          </cell>
          <cell r="E177" t="str">
            <v>Sidoarjo</v>
          </cell>
          <cell r="F177"/>
          <cell r="G177" t="str">
            <v>3578060307900009</v>
          </cell>
          <cell r="H177" t="str">
            <v>085850550677</v>
          </cell>
          <cell r="I177">
            <v>44933</v>
          </cell>
          <cell r="J177">
            <v>32939</v>
          </cell>
          <cell r="K177"/>
          <cell r="L177" t="str">
            <v>Islam</v>
          </cell>
          <cell r="M177" t="str">
            <v>Sidoarjo</v>
          </cell>
          <cell r="N177" t="str">
            <v>Produksi</v>
          </cell>
          <cell r="O177" t="str">
            <v>Spray Dried</v>
          </cell>
          <cell r="P177" t="str">
            <v>Kepala Regu</v>
          </cell>
          <cell r="Q177" t="str">
            <v>B2</v>
          </cell>
          <cell r="R177" t="str">
            <v>Grup Shift</v>
          </cell>
          <cell r="S177" t="str">
            <v>Aktif</v>
          </cell>
          <cell r="T177"/>
          <cell r="U177" t="str">
            <v>JP240526</v>
          </cell>
          <cell r="V177" t="str">
            <v>Instant</v>
          </cell>
          <cell r="W177">
            <v>36</v>
          </cell>
          <cell r="X177">
            <v>3</v>
          </cell>
          <cell r="Y177" t="str">
            <v>K/2</v>
          </cell>
          <cell r="Z177">
            <v>3</v>
          </cell>
          <cell r="AA177" t="str">
            <v>Ya</v>
          </cell>
          <cell r="AB177" t="str">
            <v>Ya</v>
          </cell>
          <cell r="AC177" t="str">
            <v>Ya</v>
          </cell>
        </row>
        <row r="178">
          <cell r="B178" t="str">
            <v>20190</v>
          </cell>
          <cell r="C178" t="str">
            <v>Sugiono</v>
          </cell>
          <cell r="D178" t="str">
            <v>Bakalan Rt.10 Rw.2 Katerungan, Krian</v>
          </cell>
          <cell r="E178" t="str">
            <v>Sidoarjo</v>
          </cell>
          <cell r="F178"/>
          <cell r="G178" t="str">
            <v>3515112803720001</v>
          </cell>
          <cell r="H178" t="str">
            <v>08574879086, 0895323479080</v>
          </cell>
          <cell r="I178">
            <v>44933</v>
          </cell>
          <cell r="J178" t="e">
            <v>#VALUE!</v>
          </cell>
          <cell r="K178"/>
          <cell r="L178" t="str">
            <v>Islam</v>
          </cell>
          <cell r="M178" t="str">
            <v>Sidoarjo</v>
          </cell>
          <cell r="N178" t="str">
            <v>Produksi</v>
          </cell>
          <cell r="O178" t="str">
            <v>Spray Dried</v>
          </cell>
          <cell r="P178" t="str">
            <v>Operator</v>
          </cell>
          <cell r="Q178" t="str">
            <v>B1</v>
          </cell>
          <cell r="R178" t="str">
            <v>Grup Shift</v>
          </cell>
          <cell r="S178" t="str">
            <v>Aktif</v>
          </cell>
          <cell r="T178"/>
          <cell r="U178" t="str">
            <v>JP240526</v>
          </cell>
          <cell r="V178" t="str">
            <v>Instant</v>
          </cell>
          <cell r="W178">
            <v>54</v>
          </cell>
          <cell r="X178">
            <v>29</v>
          </cell>
          <cell r="Y178" t="str">
            <v>K/1</v>
          </cell>
          <cell r="Z178">
            <v>3</v>
          </cell>
          <cell r="AA178" t="str">
            <v>Ya</v>
          </cell>
          <cell r="AB178" t="str">
            <v>Ya</v>
          </cell>
          <cell r="AC178" t="str">
            <v>Ya</v>
          </cell>
        </row>
        <row r="179">
          <cell r="B179" t="str">
            <v>20218</v>
          </cell>
          <cell r="C179" t="str">
            <v>Khoirul Sajidin</v>
          </cell>
          <cell r="D179" t="str">
            <v>Urangagung RT.9 RW.3 Kel Urangagung - Kec. Sidoarjo</v>
          </cell>
          <cell r="E179" t="str">
            <v>Sidoarjo</v>
          </cell>
          <cell r="F179"/>
          <cell r="G179" t="str">
            <v>3515081303730004</v>
          </cell>
          <cell r="H179" t="str">
            <v>082328827704</v>
          </cell>
          <cell r="I179">
            <v>44933</v>
          </cell>
          <cell r="J179" t="e">
            <v>#VALUE!</v>
          </cell>
          <cell r="K179"/>
          <cell r="L179" t="str">
            <v>Islam</v>
          </cell>
          <cell r="M179" t="str">
            <v>Sidoarjo</v>
          </cell>
          <cell r="N179" t="str">
            <v>Produksi</v>
          </cell>
          <cell r="O179" t="str">
            <v>Spray Dried</v>
          </cell>
          <cell r="P179" t="str">
            <v>Operator</v>
          </cell>
          <cell r="Q179" t="str">
            <v>B1</v>
          </cell>
          <cell r="R179" t="str">
            <v>Grup Shift</v>
          </cell>
          <cell r="S179" t="str">
            <v>Aktif</v>
          </cell>
          <cell r="T179"/>
          <cell r="U179" t="str">
            <v>BP240526</v>
          </cell>
          <cell r="V179" t="str">
            <v>Instant</v>
          </cell>
          <cell r="W179">
            <v>53</v>
          </cell>
          <cell r="X179">
            <v>29</v>
          </cell>
          <cell r="Y179" t="str">
            <v>K/3</v>
          </cell>
          <cell r="Z179">
            <v>3</v>
          </cell>
          <cell r="AA179" t="str">
            <v>Ya</v>
          </cell>
          <cell r="AB179" t="str">
            <v>Ya</v>
          </cell>
          <cell r="AC179" t="str">
            <v>Ya</v>
          </cell>
        </row>
        <row r="180">
          <cell r="B180" t="str">
            <v>20229</v>
          </cell>
          <cell r="C180" t="str">
            <v>Biatno Sentot</v>
          </cell>
          <cell r="D180" t="str">
            <v>Perum Graha Surya Mas Blok D-14 Dusun Ngagrok Rt.07 Rw. 05 Tempel - Krian</v>
          </cell>
          <cell r="E180" t="str">
            <v>Sidoarjo</v>
          </cell>
          <cell r="F180"/>
          <cell r="G180" t="str">
            <v>3578232302750001</v>
          </cell>
          <cell r="H180" t="str">
            <v>085815666316</v>
          </cell>
          <cell r="I180">
            <v>44933</v>
          </cell>
          <cell r="J180" t="e">
            <v>#VALUE!</v>
          </cell>
          <cell r="K180"/>
          <cell r="L180" t="str">
            <v>Islam</v>
          </cell>
          <cell r="M180" t="str">
            <v>Sidoarjo</v>
          </cell>
          <cell r="N180" t="str">
            <v>Produksi</v>
          </cell>
          <cell r="O180" t="str">
            <v>Spray Dried</v>
          </cell>
          <cell r="P180" t="str">
            <v>Operator</v>
          </cell>
          <cell r="Q180" t="str">
            <v>B1</v>
          </cell>
          <cell r="R180" t="str">
            <v>Grup Shift</v>
          </cell>
          <cell r="S180" t="str">
            <v>Aktif</v>
          </cell>
          <cell r="T180"/>
          <cell r="U180" t="str">
            <v>SP240526</v>
          </cell>
          <cell r="V180" t="str">
            <v>Instant</v>
          </cell>
          <cell r="W180">
            <v>51</v>
          </cell>
          <cell r="X180">
            <v>29</v>
          </cell>
          <cell r="Y180" t="str">
            <v>K/1</v>
          </cell>
          <cell r="Z180">
            <v>3</v>
          </cell>
          <cell r="AA180" t="str">
            <v>Ya</v>
          </cell>
          <cell r="AB180" t="str">
            <v>Ya</v>
          </cell>
          <cell r="AC180" t="str">
            <v>Ya</v>
          </cell>
        </row>
        <row r="181">
          <cell r="B181" t="str">
            <v>20272</v>
          </cell>
          <cell r="C181" t="str">
            <v>Bachrur Rozi</v>
          </cell>
          <cell r="D181" t="str">
            <v>Jl.Ketawang RT.17 RW.04 Jogosatru - Sukodono</v>
          </cell>
          <cell r="E181" t="str">
            <v>Sidoarjo</v>
          </cell>
          <cell r="F181"/>
          <cell r="G181" t="str">
            <v>3515142503740002</v>
          </cell>
          <cell r="H181" t="str">
            <v>089537947188</v>
          </cell>
          <cell r="I181">
            <v>44933</v>
          </cell>
          <cell r="J181" t="e">
            <v>#VALUE!</v>
          </cell>
          <cell r="K181"/>
          <cell r="L181" t="str">
            <v>Islam</v>
          </cell>
          <cell r="M181" t="str">
            <v>Sidoarjo</v>
          </cell>
          <cell r="N181" t="str">
            <v>Produksi</v>
          </cell>
          <cell r="O181" t="str">
            <v>Spray Dried</v>
          </cell>
          <cell r="P181" t="str">
            <v>Operator</v>
          </cell>
          <cell r="Q181" t="str">
            <v>B1</v>
          </cell>
          <cell r="R181" t="str">
            <v>Grup Shift</v>
          </cell>
          <cell r="S181" t="str">
            <v>Aktif</v>
          </cell>
          <cell r="T181"/>
          <cell r="U181" t="str">
            <v>AP240526</v>
          </cell>
          <cell r="V181" t="str">
            <v>Instant</v>
          </cell>
          <cell r="W181">
            <v>52</v>
          </cell>
          <cell r="X181">
            <v>29</v>
          </cell>
          <cell r="Y181" t="str">
            <v>K/0</v>
          </cell>
          <cell r="Z181">
            <v>3</v>
          </cell>
          <cell r="AA181" t="str">
            <v>Ya</v>
          </cell>
          <cell r="AB181" t="str">
            <v>Ya</v>
          </cell>
          <cell r="AC181" t="str">
            <v>Ya</v>
          </cell>
        </row>
        <row r="182">
          <cell r="B182" t="str">
            <v>20379</v>
          </cell>
          <cell r="C182" t="str">
            <v>Sukarji</v>
          </cell>
          <cell r="D182" t="str">
            <v>Dsn Sambiroto RT.19 RW.03 Sambibulu - Taman</v>
          </cell>
          <cell r="E182" t="str">
            <v>Sidoarjo</v>
          </cell>
          <cell r="F182"/>
          <cell r="G182" t="str">
            <v>3515130309740005</v>
          </cell>
          <cell r="H182" t="str">
            <v>082147187689</v>
          </cell>
          <cell r="I182">
            <v>44933</v>
          </cell>
          <cell r="J182">
            <v>27097</v>
          </cell>
          <cell r="K182"/>
          <cell r="L182" t="str">
            <v>Islam</v>
          </cell>
          <cell r="M182" t="str">
            <v>Sidoarjo</v>
          </cell>
          <cell r="N182" t="str">
            <v>Produksi</v>
          </cell>
          <cell r="O182" t="str">
            <v>Spray Dried</v>
          </cell>
          <cell r="P182" t="str">
            <v>Operator</v>
          </cell>
          <cell r="Q182" t="str">
            <v>B1</v>
          </cell>
          <cell r="R182" t="str">
            <v>Grup Shift</v>
          </cell>
          <cell r="S182" t="str">
            <v>Aktif</v>
          </cell>
          <cell r="T182"/>
          <cell r="U182" t="str">
            <v>AP240526</v>
          </cell>
          <cell r="V182" t="str">
            <v>Instant</v>
          </cell>
          <cell r="W182">
            <v>51</v>
          </cell>
          <cell r="X182">
            <v>29</v>
          </cell>
          <cell r="Y182" t="str">
            <v>K/3</v>
          </cell>
          <cell r="Z182">
            <v>3</v>
          </cell>
          <cell r="AA182" t="str">
            <v>Ya</v>
          </cell>
          <cell r="AB182" t="str">
            <v>Ya</v>
          </cell>
          <cell r="AC182" t="str">
            <v>Ya</v>
          </cell>
        </row>
        <row r="183">
          <cell r="B183" t="str">
            <v>20466</v>
          </cell>
          <cell r="C183" t="str">
            <v>Slamet Riyanto</v>
          </cell>
          <cell r="D183" t="str">
            <v>Dsn Banjar no 9 RT 02/RW 01 Desa Pertapan Maduretno Kec Taman</v>
          </cell>
          <cell r="E183" t="str">
            <v>Sidoarjo</v>
          </cell>
          <cell r="F183"/>
          <cell r="G183" t="str">
            <v>3518080107720002</v>
          </cell>
          <cell r="H183" t="str">
            <v>082298130927</v>
          </cell>
          <cell r="I183">
            <v>44933</v>
          </cell>
          <cell r="J183">
            <v>26305</v>
          </cell>
          <cell r="K183"/>
          <cell r="L183" t="str">
            <v>Islam</v>
          </cell>
          <cell r="M183" t="str">
            <v>Sidoarjo</v>
          </cell>
          <cell r="N183" t="str">
            <v>Produksi</v>
          </cell>
          <cell r="O183" t="str">
            <v>Spray Dried</v>
          </cell>
          <cell r="P183" t="str">
            <v>Operator</v>
          </cell>
          <cell r="Q183" t="str">
            <v>B1</v>
          </cell>
          <cell r="R183" t="str">
            <v>Grup Shift</v>
          </cell>
          <cell r="S183" t="str">
            <v>Aktif</v>
          </cell>
          <cell r="T183"/>
          <cell r="U183" t="str">
            <v>AP240526</v>
          </cell>
          <cell r="V183" t="str">
            <v>Instant</v>
          </cell>
          <cell r="W183">
            <v>54</v>
          </cell>
          <cell r="X183">
            <v>28</v>
          </cell>
          <cell r="Y183" t="str">
            <v>T/0</v>
          </cell>
          <cell r="Z183">
            <v>3</v>
          </cell>
          <cell r="AA183" t="str">
            <v>Ya</v>
          </cell>
          <cell r="AB183" t="str">
            <v>Ya</v>
          </cell>
          <cell r="AC183" t="str">
            <v>Ya</v>
          </cell>
        </row>
        <row r="184">
          <cell r="B184" t="str">
            <v>20852</v>
          </cell>
          <cell r="C184" t="str">
            <v>Ahmad Nurul Hidayat</v>
          </cell>
          <cell r="D184" t="str">
            <v>Wonorejo RT.03 RW.01 Wonorejo -Trowulan</v>
          </cell>
          <cell r="E184" t="str">
            <v>Mojokerto (61362)</v>
          </cell>
          <cell r="F184"/>
          <cell r="G184" t="str">
            <v>3516121010000001</v>
          </cell>
          <cell r="H184" t="str">
            <v>085733120236</v>
          </cell>
          <cell r="I184">
            <v>44933</v>
          </cell>
          <cell r="J184">
            <v>36809</v>
          </cell>
          <cell r="K184"/>
          <cell r="L184" t="str">
            <v>Islam</v>
          </cell>
          <cell r="M184" t="str">
            <v>Sidoarjo</v>
          </cell>
          <cell r="N184" t="str">
            <v>Produksi</v>
          </cell>
          <cell r="O184" t="str">
            <v>Spray Dried</v>
          </cell>
          <cell r="P184" t="str">
            <v>Operator</v>
          </cell>
          <cell r="Q184" t="str">
            <v>A1</v>
          </cell>
          <cell r="R184" t="str">
            <v>Grup Shift</v>
          </cell>
          <cell r="S184" t="str">
            <v>Aktif</v>
          </cell>
          <cell r="T184"/>
          <cell r="U184" t="str">
            <v>BP240526</v>
          </cell>
          <cell r="V184" t="str">
            <v>Instant</v>
          </cell>
          <cell r="W184">
            <v>25</v>
          </cell>
          <cell r="X184">
            <v>3</v>
          </cell>
          <cell r="Y184" t="str">
            <v>K/1</v>
          </cell>
          <cell r="Z184">
            <v>3</v>
          </cell>
          <cell r="AA184" t="str">
            <v>Ya</v>
          </cell>
          <cell r="AB184" t="str">
            <v>Ya</v>
          </cell>
          <cell r="AC184" t="str">
            <v>Ya</v>
          </cell>
        </row>
        <row r="185">
          <cell r="B185" t="str">
            <v>20857</v>
          </cell>
          <cell r="C185" t="str">
            <v>Hafid Alhadi</v>
          </cell>
          <cell r="D185" t="str">
            <v>Dsn. Cangkring RT.06 RW.01 Cangkringturi - Prambon</v>
          </cell>
          <cell r="E185" t="str">
            <v>Sidoarjo</v>
          </cell>
          <cell r="F185"/>
          <cell r="G185" t="str">
            <v>3515022308000001</v>
          </cell>
          <cell r="H185" t="str">
            <v>085606041591</v>
          </cell>
          <cell r="I185">
            <v>44933</v>
          </cell>
          <cell r="J185" t="e">
            <v>#VALUE!</v>
          </cell>
          <cell r="K185"/>
          <cell r="L185" t="str">
            <v>Islam</v>
          </cell>
          <cell r="M185" t="str">
            <v>Sidoarjo</v>
          </cell>
          <cell r="N185" t="str">
            <v>Produksi</v>
          </cell>
          <cell r="O185" t="str">
            <v>Spray Dried</v>
          </cell>
          <cell r="P185" t="str">
            <v>Operator</v>
          </cell>
          <cell r="Q185" t="str">
            <v>A1</v>
          </cell>
          <cell r="R185" t="str">
            <v>Grup Shift</v>
          </cell>
          <cell r="S185" t="str">
            <v>Aktif</v>
          </cell>
          <cell r="T185"/>
          <cell r="U185" t="str">
            <v>AP240526</v>
          </cell>
          <cell r="V185" t="str">
            <v>Instant</v>
          </cell>
          <cell r="W185">
            <v>25</v>
          </cell>
          <cell r="X185">
            <v>3</v>
          </cell>
          <cell r="Y185" t="str">
            <v>T/0</v>
          </cell>
          <cell r="Z185">
            <v>3</v>
          </cell>
          <cell r="AA185" t="str">
            <v>Ya</v>
          </cell>
          <cell r="AB185" t="str">
            <v>Ya</v>
          </cell>
          <cell r="AC185" t="str">
            <v>Ya</v>
          </cell>
        </row>
        <row r="186">
          <cell r="B186" t="str">
            <v>20862</v>
          </cell>
          <cell r="C186" t="str">
            <v>M Rizal Abidin</v>
          </cell>
          <cell r="D186" t="str">
            <v>Trosobo RT.02 RW.07 Trosobo Taman</v>
          </cell>
          <cell r="E186" t="str">
            <v>Sidoarjo</v>
          </cell>
          <cell r="F186"/>
          <cell r="G186" t="str">
            <v>3515132505010008</v>
          </cell>
          <cell r="H186" t="str">
            <v>0895622205927</v>
          </cell>
          <cell r="I186">
            <v>44933</v>
          </cell>
          <cell r="J186" t="e">
            <v>#VALUE!</v>
          </cell>
          <cell r="K186"/>
          <cell r="L186" t="str">
            <v>Islam</v>
          </cell>
          <cell r="M186" t="str">
            <v>Sidoarjo</v>
          </cell>
          <cell r="N186" t="str">
            <v>Produksi</v>
          </cell>
          <cell r="O186" t="str">
            <v>Spray Dried</v>
          </cell>
          <cell r="P186" t="str">
            <v>Operator</v>
          </cell>
          <cell r="Q186" t="str">
            <v>A1</v>
          </cell>
          <cell r="R186" t="str">
            <v>Grup Shift</v>
          </cell>
          <cell r="S186" t="str">
            <v>Aktif</v>
          </cell>
          <cell r="T186"/>
          <cell r="U186" t="str">
            <v>SP240526</v>
          </cell>
          <cell r="V186" t="str">
            <v>Instant</v>
          </cell>
          <cell r="W186">
            <v>25</v>
          </cell>
          <cell r="X186">
            <v>3</v>
          </cell>
          <cell r="Y186" t="str">
            <v>T/0</v>
          </cell>
          <cell r="Z186">
            <v>3</v>
          </cell>
          <cell r="AA186" t="str">
            <v>Ya</v>
          </cell>
          <cell r="AB186" t="str">
            <v>Ya</v>
          </cell>
          <cell r="AC186" t="str">
            <v>Ya</v>
          </cell>
        </row>
        <row r="187">
          <cell r="B187" t="str">
            <v>20863</v>
          </cell>
          <cell r="C187" t="str">
            <v>Dhani Darmawan Setyaji</v>
          </cell>
          <cell r="D187" t="str">
            <v>Trosobo RT.02 RW.02 Trosobo - Taman</v>
          </cell>
          <cell r="E187" t="str">
            <v>Sidoarjo</v>
          </cell>
          <cell r="F187"/>
          <cell r="G187" t="str">
            <v>3515132011970008</v>
          </cell>
          <cell r="H187" t="str">
            <v>085655158752</v>
          </cell>
          <cell r="I187">
            <v>44933</v>
          </cell>
          <cell r="J187" t="e">
            <v>#VALUE!</v>
          </cell>
          <cell r="K187"/>
          <cell r="L187" t="str">
            <v>Islam</v>
          </cell>
          <cell r="M187" t="str">
            <v>Sidoarjo</v>
          </cell>
          <cell r="N187" t="str">
            <v>Produksi</v>
          </cell>
          <cell r="O187" t="str">
            <v>Spray Dried</v>
          </cell>
          <cell r="P187" t="str">
            <v>Operator</v>
          </cell>
          <cell r="Q187" t="str">
            <v>A1</v>
          </cell>
          <cell r="R187" t="str">
            <v>Grup Shift</v>
          </cell>
          <cell r="S187" t="str">
            <v>Aktif</v>
          </cell>
          <cell r="T187"/>
          <cell r="U187" t="str">
            <v>JP240526</v>
          </cell>
          <cell r="V187" t="str">
            <v>Instant</v>
          </cell>
          <cell r="W187">
            <v>28</v>
          </cell>
          <cell r="X187">
            <v>3</v>
          </cell>
          <cell r="Y187" t="str">
            <v>T/0</v>
          </cell>
          <cell r="Z187">
            <v>3</v>
          </cell>
          <cell r="AA187" t="str">
            <v>Ya</v>
          </cell>
          <cell r="AB187" t="str">
            <v>Ya</v>
          </cell>
          <cell r="AC187" t="str">
            <v>Ya</v>
          </cell>
        </row>
        <row r="188">
          <cell r="B188" t="str">
            <v>20872</v>
          </cell>
          <cell r="C188" t="str">
            <v>Achmad Bayu Pradana</v>
          </cell>
          <cell r="D188" t="str">
            <v>Margorejo 3E / No 50 Rt.02 Rw.06 Margorejo, Wonocolo</v>
          </cell>
          <cell r="E188" t="str">
            <v>Surabaya (60238)</v>
          </cell>
          <cell r="F188"/>
          <cell r="G188" t="str">
            <v>3578021706960004</v>
          </cell>
          <cell r="H188" t="str">
            <v>08993474548</v>
          </cell>
          <cell r="I188">
            <v>44933</v>
          </cell>
          <cell r="J188" t="e">
            <v>#VALUE!</v>
          </cell>
          <cell r="K188"/>
          <cell r="L188" t="str">
            <v>Islam</v>
          </cell>
          <cell r="M188" t="str">
            <v>Sidoarjo</v>
          </cell>
          <cell r="N188" t="str">
            <v>Produksi</v>
          </cell>
          <cell r="O188" t="str">
            <v>Spray Dried</v>
          </cell>
          <cell r="P188" t="str">
            <v>Operator</v>
          </cell>
          <cell r="Q188" t="str">
            <v>A1</v>
          </cell>
          <cell r="R188" t="str">
            <v>Grup Shift</v>
          </cell>
          <cell r="S188" t="str">
            <v>Aktif</v>
          </cell>
          <cell r="T188"/>
          <cell r="U188" t="str">
            <v>JP240526</v>
          </cell>
          <cell r="V188" t="str">
            <v>Instant</v>
          </cell>
          <cell r="W188">
            <v>30</v>
          </cell>
          <cell r="X188">
            <v>3</v>
          </cell>
          <cell r="Y188" t="str">
            <v>K/1</v>
          </cell>
          <cell r="Z188">
            <v>3</v>
          </cell>
          <cell r="AA188" t="str">
            <v>Ya</v>
          </cell>
          <cell r="AB188" t="str">
            <v>Ya</v>
          </cell>
          <cell r="AC188" t="str">
            <v>Ya</v>
          </cell>
        </row>
        <row r="189">
          <cell r="B189" t="str">
            <v>20876</v>
          </cell>
          <cell r="C189" t="str">
            <v>Achmad Syaifuddin</v>
          </cell>
          <cell r="D189" t="str">
            <v>Jl. Mastrip Warugunung Rt.06 Rw.01 Ds. Bulupinggir, Karangpilang</v>
          </cell>
          <cell r="E189" t="str">
            <v>Surabaya</v>
          </cell>
          <cell r="F189"/>
          <cell r="G189" t="str">
            <v>3524221203950001</v>
          </cell>
          <cell r="H189" t="str">
            <v>085731382223</v>
          </cell>
          <cell r="I189">
            <v>44933</v>
          </cell>
          <cell r="J189">
            <v>35036</v>
          </cell>
          <cell r="K189"/>
          <cell r="L189" t="str">
            <v>Islam</v>
          </cell>
          <cell r="M189" t="str">
            <v>Sidoarjo</v>
          </cell>
          <cell r="N189" t="str">
            <v>Produksi</v>
          </cell>
          <cell r="O189" t="str">
            <v>Spray Dried</v>
          </cell>
          <cell r="P189" t="str">
            <v>Operator</v>
          </cell>
          <cell r="Q189" t="str">
            <v>A1</v>
          </cell>
          <cell r="R189" t="str">
            <v>Grup Shift</v>
          </cell>
          <cell r="S189" t="str">
            <v>Aktif</v>
          </cell>
          <cell r="T189"/>
          <cell r="U189" t="str">
            <v>BP240526</v>
          </cell>
          <cell r="V189" t="str">
            <v>Instant</v>
          </cell>
          <cell r="W189">
            <v>31</v>
          </cell>
          <cell r="X189">
            <v>3</v>
          </cell>
          <cell r="Y189" t="str">
            <v>T/0</v>
          </cell>
          <cell r="Z189">
            <v>3</v>
          </cell>
          <cell r="AA189" t="str">
            <v>Ya</v>
          </cell>
          <cell r="AB189" t="str">
            <v>Ya</v>
          </cell>
          <cell r="AC189" t="str">
            <v>Ya</v>
          </cell>
        </row>
        <row r="190">
          <cell r="B190" t="str">
            <v>20885</v>
          </cell>
          <cell r="C190" t="str">
            <v>Mukhammad Alif Yogianto</v>
          </cell>
          <cell r="D190" t="str">
            <v>Ngranggon Rt.25 Rw. 06 Ngrowo - Bangsal</v>
          </cell>
          <cell r="E190" t="str">
            <v>Mojokerto</v>
          </cell>
          <cell r="F190"/>
          <cell r="G190" t="str">
            <v>3516102906010002</v>
          </cell>
          <cell r="H190" t="str">
            <v>0895395408060</v>
          </cell>
          <cell r="I190">
            <v>44933</v>
          </cell>
          <cell r="J190" t="e">
            <v>#VALUE!</v>
          </cell>
          <cell r="K190"/>
          <cell r="L190" t="str">
            <v>Islam</v>
          </cell>
          <cell r="M190" t="str">
            <v>Sidoarjo</v>
          </cell>
          <cell r="N190" t="str">
            <v>Produksi</v>
          </cell>
          <cell r="O190" t="str">
            <v>Spray Dried</v>
          </cell>
          <cell r="P190" t="str">
            <v>Operator</v>
          </cell>
          <cell r="Q190" t="str">
            <v>B1</v>
          </cell>
          <cell r="R190" t="str">
            <v>Grup Shift</v>
          </cell>
          <cell r="S190" t="str">
            <v>Aktif</v>
          </cell>
          <cell r="T190"/>
          <cell r="U190" t="str">
            <v>SP240526</v>
          </cell>
          <cell r="V190" t="str">
            <v>Instant</v>
          </cell>
          <cell r="W190">
            <v>25</v>
          </cell>
          <cell r="X190">
            <v>3</v>
          </cell>
          <cell r="Y190" t="str">
            <v>T/0</v>
          </cell>
          <cell r="Z190">
            <v>3</v>
          </cell>
          <cell r="AA190" t="str">
            <v>Ya</v>
          </cell>
          <cell r="AB190" t="str">
            <v>Ya</v>
          </cell>
          <cell r="AC190" t="str">
            <v>Ya</v>
          </cell>
        </row>
        <row r="191">
          <cell r="B191" t="str">
            <v>20126</v>
          </cell>
          <cell r="C191" t="str">
            <v>Totok Hariyanto</v>
          </cell>
          <cell r="D191" t="str">
            <v>Dusun Bendotretek Rt.01 Rw.01 Kel. Bendotretek, Prambon</v>
          </cell>
          <cell r="E191" t="str">
            <v>Sidoarjo</v>
          </cell>
          <cell r="F191"/>
          <cell r="G191" t="str">
            <v>3515021810740003</v>
          </cell>
          <cell r="H191" t="str">
            <v>085748684002</v>
          </cell>
          <cell r="I191">
            <v>44933</v>
          </cell>
          <cell r="J191" t="e">
            <v>#VALUE!</v>
          </cell>
          <cell r="K191"/>
          <cell r="L191" t="str">
            <v>Islam</v>
          </cell>
          <cell r="M191" t="str">
            <v>Sidoarjo</v>
          </cell>
          <cell r="N191" t="str">
            <v>Produksi</v>
          </cell>
          <cell r="O191" t="str">
            <v>Water Treatment</v>
          </cell>
          <cell r="P191" t="str">
            <v>Operator</v>
          </cell>
          <cell r="Q191" t="str">
            <v>B1</v>
          </cell>
          <cell r="R191" t="str">
            <v>Grup Shift</v>
          </cell>
          <cell r="S191" t="str">
            <v>Aktif</v>
          </cell>
          <cell r="T191"/>
          <cell r="U191" t="str">
            <v>BP240526</v>
          </cell>
          <cell r="V191" t="str">
            <v>Instant</v>
          </cell>
          <cell r="W191">
            <v>51</v>
          </cell>
          <cell r="X191">
            <v>30</v>
          </cell>
          <cell r="Y191" t="str">
            <v>K/0</v>
          </cell>
          <cell r="Z191">
            <v>3</v>
          </cell>
          <cell r="AA191" t="str">
            <v>Ya</v>
          </cell>
          <cell r="AB191" t="str">
            <v>Ya</v>
          </cell>
          <cell r="AC191" t="str">
            <v>Ya</v>
          </cell>
        </row>
        <row r="192">
          <cell r="B192" t="str">
            <v>20180</v>
          </cell>
          <cell r="C192" t="str">
            <v>Djoko Agus Supriyadi</v>
          </cell>
          <cell r="D192" t="str">
            <v>Wonokupang RT.2 RW.1 Kel. Wonokupang - Kec. Balongbendo</v>
          </cell>
          <cell r="E192" t="str">
            <v>Sidoarjo</v>
          </cell>
          <cell r="F192"/>
          <cell r="G192" t="str">
            <v>3515121308720004</v>
          </cell>
          <cell r="H192" t="str">
            <v>082132221530</v>
          </cell>
          <cell r="I192">
            <v>44933</v>
          </cell>
          <cell r="J192" t="e">
            <v>#VALUE!</v>
          </cell>
          <cell r="K192"/>
          <cell r="L192" t="str">
            <v>Islam</v>
          </cell>
          <cell r="M192" t="str">
            <v>Sidoarjo</v>
          </cell>
          <cell r="N192" t="str">
            <v>Produksi</v>
          </cell>
          <cell r="O192" t="str">
            <v>Water Treatment</v>
          </cell>
          <cell r="P192" t="str">
            <v>Operator</v>
          </cell>
          <cell r="Q192" t="str">
            <v>B1</v>
          </cell>
          <cell r="R192" t="str">
            <v>Grup Shift</v>
          </cell>
          <cell r="S192" t="str">
            <v>Aktif</v>
          </cell>
          <cell r="T192"/>
          <cell r="U192" t="str">
            <v>JP240526</v>
          </cell>
          <cell r="V192" t="str">
            <v>Instant</v>
          </cell>
          <cell r="W192">
            <v>53</v>
          </cell>
          <cell r="X192">
            <v>29</v>
          </cell>
          <cell r="Y192" t="str">
            <v>K/1</v>
          </cell>
          <cell r="Z192">
            <v>3</v>
          </cell>
          <cell r="AA192" t="str">
            <v>Ya</v>
          </cell>
          <cell r="AB192" t="str">
            <v>Ya</v>
          </cell>
          <cell r="AC192" t="str">
            <v>Ya</v>
          </cell>
        </row>
        <row r="193">
          <cell r="B193" t="str">
            <v>20452</v>
          </cell>
          <cell r="C193" t="str">
            <v>Wijang Dwi Mulyono</v>
          </cell>
          <cell r="D193" t="str">
            <v>Dsn Boharan RT1 RW 1 Kel.Keboharan - Kec.Krian</v>
          </cell>
          <cell r="E193" t="str">
            <v>Sidoarjo</v>
          </cell>
          <cell r="F193"/>
          <cell r="G193" t="str">
            <v>3515110310750005</v>
          </cell>
          <cell r="H193" t="str">
            <v>085645330822</v>
          </cell>
          <cell r="I193">
            <v>44933</v>
          </cell>
          <cell r="J193">
            <v>27463</v>
          </cell>
          <cell r="K193"/>
          <cell r="L193" t="str">
            <v>Islam</v>
          </cell>
          <cell r="M193" t="str">
            <v>Sidoarjo</v>
          </cell>
          <cell r="N193" t="str">
            <v>Produksi</v>
          </cell>
          <cell r="O193" t="str">
            <v>Water Treatment</v>
          </cell>
          <cell r="P193" t="str">
            <v>Operator</v>
          </cell>
          <cell r="Q193" t="str">
            <v>B1</v>
          </cell>
          <cell r="R193" t="str">
            <v>Grup Shift</v>
          </cell>
          <cell r="S193" t="str">
            <v>Aktif</v>
          </cell>
          <cell r="T193"/>
          <cell r="U193" t="str">
            <v>SP240526</v>
          </cell>
          <cell r="V193" t="str">
            <v>Instant</v>
          </cell>
          <cell r="W193">
            <v>50</v>
          </cell>
          <cell r="X193">
            <v>28</v>
          </cell>
          <cell r="Y193" t="str">
            <v>K/1</v>
          </cell>
          <cell r="Z193">
            <v>3</v>
          </cell>
          <cell r="AA193" t="str">
            <v>Ya</v>
          </cell>
          <cell r="AB193" t="str">
            <v>Ya</v>
          </cell>
          <cell r="AC193" t="str">
            <v>Ya</v>
          </cell>
        </row>
        <row r="194">
          <cell r="B194" t="str">
            <v>20675</v>
          </cell>
          <cell r="C194" t="str">
            <v>Erly Bachtiar Chumaini, ST</v>
          </cell>
          <cell r="D194" t="str">
            <v>Perum Citra harmoni Blok H-1 / 14 RT.36 RW.07 Sidodadi  Taman</v>
          </cell>
          <cell r="E194" t="str">
            <v>Sidoarjo</v>
          </cell>
          <cell r="F194"/>
          <cell r="G194" t="str">
            <v>3573020603790002</v>
          </cell>
          <cell r="H194" t="str">
            <v>081703344947, 085731613631</v>
          </cell>
          <cell r="I194">
            <v>44933</v>
          </cell>
          <cell r="J194">
            <v>29009</v>
          </cell>
          <cell r="K194"/>
          <cell r="L194" t="str">
            <v>Islam</v>
          </cell>
          <cell r="M194" t="str">
            <v>Sidoarjo</v>
          </cell>
          <cell r="N194" t="str">
            <v>Produksi</v>
          </cell>
          <cell r="O194" t="str">
            <v>WT/WWTP</v>
          </cell>
          <cell r="P194" t="str">
            <v>Kabag.</v>
          </cell>
          <cell r="Q194" t="str">
            <v>III</v>
          </cell>
          <cell r="R194" t="str">
            <v>Shift</v>
          </cell>
          <cell r="S194" t="str">
            <v>Aktif</v>
          </cell>
          <cell r="T194" t="str">
            <v>NS2</v>
          </cell>
          <cell r="U194"/>
          <cell r="V194" t="str">
            <v>Instant</v>
          </cell>
          <cell r="W194">
            <v>47</v>
          </cell>
          <cell r="X194">
            <v>14</v>
          </cell>
          <cell r="Y194" t="str">
            <v>K/3</v>
          </cell>
          <cell r="Z194">
            <v>3</v>
          </cell>
          <cell r="AA194" t="str">
            <v>Ya</v>
          </cell>
          <cell r="AB194" t="str">
            <v>Ya</v>
          </cell>
          <cell r="AC194" t="str">
            <v>Ya</v>
          </cell>
        </row>
        <row r="195">
          <cell r="B195" t="str">
            <v>20025</v>
          </cell>
          <cell r="C195" t="str">
            <v>Arifin</v>
          </cell>
          <cell r="D195" t="str">
            <v>Graha Permata Sidorejo Indah R-22, Rt.53 / Rw.10 Sidorejo-Krian</v>
          </cell>
          <cell r="E195" t="str">
            <v>Sidoarjo</v>
          </cell>
          <cell r="F195"/>
          <cell r="G195" t="str">
            <v>3525152305710002</v>
          </cell>
          <cell r="H195" t="str">
            <v>08216980293</v>
          </cell>
          <cell r="I195">
            <v>44933</v>
          </cell>
          <cell r="J195" t="e">
            <v>#VALUE!</v>
          </cell>
          <cell r="K195"/>
          <cell r="L195" t="str">
            <v>Islam</v>
          </cell>
          <cell r="M195" t="str">
            <v>Sidoarjo</v>
          </cell>
          <cell r="N195" t="str">
            <v>Produksi</v>
          </cell>
          <cell r="O195" t="str">
            <v>WT/WWTP</v>
          </cell>
          <cell r="P195" t="str">
            <v>Supervisor</v>
          </cell>
          <cell r="Q195" t="str">
            <v>D2</v>
          </cell>
          <cell r="R195" t="str">
            <v>Grup Shift</v>
          </cell>
          <cell r="S195" t="str">
            <v>Aktif</v>
          </cell>
          <cell r="T195"/>
          <cell r="U195" t="str">
            <v>AP240526</v>
          </cell>
          <cell r="V195" t="str">
            <v>Instant</v>
          </cell>
          <cell r="W195">
            <v>55</v>
          </cell>
          <cell r="X195">
            <v>34</v>
          </cell>
          <cell r="Y195" t="str">
            <v>K/1</v>
          </cell>
          <cell r="Z195">
            <v>3</v>
          </cell>
          <cell r="AA195" t="str">
            <v>Ya</v>
          </cell>
          <cell r="AB195" t="str">
            <v>Ya</v>
          </cell>
          <cell r="AC195" t="str">
            <v>Ya</v>
          </cell>
        </row>
        <row r="196">
          <cell r="B196" t="str">
            <v>20240</v>
          </cell>
          <cell r="C196" t="str">
            <v>Yales Setiawan</v>
          </cell>
          <cell r="D196" t="str">
            <v>Kramat YY No.15 RT 4 RW 7 Kel. Kramatjegu-Kec.Taman</v>
          </cell>
          <cell r="E196" t="str">
            <v>Sidoarjo</v>
          </cell>
          <cell r="F196"/>
          <cell r="G196" t="str">
            <v>3515131808770006</v>
          </cell>
          <cell r="H196" t="str">
            <v>08123119482</v>
          </cell>
          <cell r="I196">
            <v>44933</v>
          </cell>
          <cell r="J196" t="e">
            <v>#VALUE!</v>
          </cell>
          <cell r="K196"/>
          <cell r="L196" t="str">
            <v>Islam</v>
          </cell>
          <cell r="M196" t="str">
            <v>Sidoarjo</v>
          </cell>
          <cell r="N196" t="str">
            <v>Produksi</v>
          </cell>
          <cell r="O196" t="str">
            <v>WT/WWTP</v>
          </cell>
          <cell r="P196" t="str">
            <v>Supervisor</v>
          </cell>
          <cell r="Q196" t="str">
            <v>D3</v>
          </cell>
          <cell r="R196" t="str">
            <v>Grup Shift</v>
          </cell>
          <cell r="S196" t="str">
            <v>Aktif</v>
          </cell>
          <cell r="T196"/>
          <cell r="U196" t="str">
            <v>SP240526</v>
          </cell>
          <cell r="V196" t="str">
            <v>Instant</v>
          </cell>
          <cell r="W196">
            <v>48</v>
          </cell>
          <cell r="X196">
            <v>29</v>
          </cell>
          <cell r="Y196" t="str">
            <v>K/2</v>
          </cell>
          <cell r="Z196">
            <v>3</v>
          </cell>
          <cell r="AA196" t="str">
            <v>Ya</v>
          </cell>
          <cell r="AB196" t="str">
            <v>Ya</v>
          </cell>
          <cell r="AC196" t="str">
            <v>Ya</v>
          </cell>
        </row>
        <row r="197">
          <cell r="B197" t="str">
            <v>20845</v>
          </cell>
          <cell r="C197" t="str">
            <v>Farid Zakariya</v>
          </cell>
          <cell r="D197" t="str">
            <v>Jl. Anggrek No.7 RT.04 RW.02 Ketajen Gedangan</v>
          </cell>
          <cell r="E197" t="str">
            <v>Sidoarjo</v>
          </cell>
          <cell r="F197"/>
          <cell r="G197" t="str">
            <v>3513122010940007</v>
          </cell>
          <cell r="H197" t="str">
            <v>081297769090</v>
          </cell>
          <cell r="I197">
            <v>44933</v>
          </cell>
          <cell r="J197" t="e">
            <v>#VALUE!</v>
          </cell>
          <cell r="K197"/>
          <cell r="L197" t="str">
            <v>Islam</v>
          </cell>
          <cell r="M197" t="str">
            <v>Sidoarjo</v>
          </cell>
          <cell r="N197" t="str">
            <v>Produksi</v>
          </cell>
          <cell r="O197" t="str">
            <v>WT/WWTP</v>
          </cell>
          <cell r="P197" t="str">
            <v>Supervisor</v>
          </cell>
          <cell r="Q197" t="str">
            <v>D3</v>
          </cell>
          <cell r="R197" t="str">
            <v>Grup Shift</v>
          </cell>
          <cell r="S197" t="str">
            <v>Aktif</v>
          </cell>
          <cell r="T197"/>
          <cell r="U197" t="str">
            <v>JP240526</v>
          </cell>
          <cell r="V197" t="str">
            <v>Instant</v>
          </cell>
          <cell r="W197">
            <v>31</v>
          </cell>
          <cell r="X197">
            <v>5</v>
          </cell>
          <cell r="Y197" t="str">
            <v>K/1</v>
          </cell>
          <cell r="Z197">
            <v>3</v>
          </cell>
          <cell r="AA197" t="str">
            <v>Ya</v>
          </cell>
          <cell r="AB197" t="str">
            <v>Ya</v>
          </cell>
          <cell r="AC197" t="str">
            <v>Ya</v>
          </cell>
        </row>
        <row r="198">
          <cell r="B198" t="str">
            <v>20889</v>
          </cell>
          <cell r="C198" t="str">
            <v>Ricco Primario Lisanto</v>
          </cell>
          <cell r="D198" t="str">
            <v>Taruna XI KAV. 115 Rt.04 Rw.03 Wage Taman</v>
          </cell>
          <cell r="E198" t="str">
            <v>Sidoarjo</v>
          </cell>
          <cell r="F198"/>
          <cell r="G198" t="str">
            <v>3515132502020008</v>
          </cell>
          <cell r="H198" t="str">
            <v>08996735718</v>
          </cell>
          <cell r="I198">
            <v>44933</v>
          </cell>
          <cell r="J198" t="e">
            <v>#VALUE!</v>
          </cell>
          <cell r="K198"/>
          <cell r="L198" t="str">
            <v>Islam</v>
          </cell>
          <cell r="M198" t="str">
            <v>Sidoarjo</v>
          </cell>
          <cell r="N198" t="str">
            <v>Produksi</v>
          </cell>
          <cell r="O198" t="str">
            <v>WT/WWTP</v>
          </cell>
          <cell r="P198" t="str">
            <v>Supervisor</v>
          </cell>
          <cell r="Q198" t="str">
            <v>D3</v>
          </cell>
          <cell r="R198" t="str">
            <v>Grup Shift</v>
          </cell>
          <cell r="S198" t="str">
            <v>Aktif</v>
          </cell>
          <cell r="T198"/>
          <cell r="U198" t="str">
            <v>BP240526</v>
          </cell>
          <cell r="V198" t="str">
            <v>Instant</v>
          </cell>
          <cell r="W198">
            <v>24</v>
          </cell>
          <cell r="X198">
            <v>3</v>
          </cell>
          <cell r="Y198" t="str">
            <v>T/0</v>
          </cell>
          <cell r="Z198">
            <v>3</v>
          </cell>
          <cell r="AA198" t="str">
            <v>Ya</v>
          </cell>
          <cell r="AB198" t="str">
            <v>Ya</v>
          </cell>
          <cell r="AC198" t="str">
            <v>Ya</v>
          </cell>
        </row>
        <row r="199">
          <cell r="B199" t="str">
            <v>20938</v>
          </cell>
          <cell r="C199" t="str">
            <v>Melvin Ardian Wirabrata</v>
          </cell>
          <cell r="D199" t="str">
            <v>Mojoklangru Lor No.112B RT.5 RW.4 Kel. Mojo - Kec. Gubeng - Surabaya 60285</v>
          </cell>
          <cell r="E199" t="str">
            <v>Surabaya</v>
          </cell>
          <cell r="F199"/>
          <cell r="G199" t="str">
            <v>3578081505000003</v>
          </cell>
          <cell r="H199" t="str">
            <v>082337870641</v>
          </cell>
          <cell r="I199" t="e">
            <v>#VALUE!</v>
          </cell>
          <cell r="J199" t="e">
            <v>#VALUE!</v>
          </cell>
          <cell r="K199"/>
          <cell r="L199" t="str">
            <v>Islam</v>
          </cell>
          <cell r="M199" t="str">
            <v>Sidoarjo</v>
          </cell>
          <cell r="N199" t="str">
            <v>Produksi</v>
          </cell>
          <cell r="O199" t="str">
            <v>WWTP</v>
          </cell>
          <cell r="P199" t="str">
            <v>Adm (pelaksana)</v>
          </cell>
          <cell r="Q199" t="str">
            <v>A1</v>
          </cell>
          <cell r="R199" t="str">
            <v>Shift</v>
          </cell>
          <cell r="S199" t="str">
            <v>Aktif</v>
          </cell>
          <cell r="T199" t="str">
            <v>NS1</v>
          </cell>
          <cell r="U199"/>
          <cell r="V199" t="str">
            <v>Instant</v>
          </cell>
          <cell r="W199">
            <v>26</v>
          </cell>
          <cell r="X199">
            <v>0</v>
          </cell>
          <cell r="Y199" t="str">
            <v>T/0</v>
          </cell>
          <cell r="Z199">
            <v>0</v>
          </cell>
          <cell r="AA199" t="str">
            <v>Ya</v>
          </cell>
          <cell r="AB199" t="str">
            <v>Ya</v>
          </cell>
          <cell r="AC199" t="str">
            <v>Ya</v>
          </cell>
        </row>
        <row r="200">
          <cell r="B200" t="str">
            <v>20087</v>
          </cell>
          <cell r="C200" t="str">
            <v>Tono</v>
          </cell>
          <cell r="D200" t="str">
            <v>Simogirang RT.1 RW.5 Kel. Simogirang - Kec. Prambon</v>
          </cell>
          <cell r="E200" t="str">
            <v>Sidoarjo</v>
          </cell>
          <cell r="F200"/>
          <cell r="G200" t="str">
            <v>3515022006720001</v>
          </cell>
          <cell r="H200" t="str">
            <v>088805410579</v>
          </cell>
          <cell r="I200">
            <v>44933</v>
          </cell>
          <cell r="J200" t="e">
            <v>#VALUE!</v>
          </cell>
          <cell r="K200"/>
          <cell r="L200" t="str">
            <v>Islam</v>
          </cell>
          <cell r="M200" t="str">
            <v>Sidoarjo</v>
          </cell>
          <cell r="N200" t="str">
            <v>Produksi</v>
          </cell>
          <cell r="O200" t="str">
            <v>WWTP</v>
          </cell>
          <cell r="P200" t="str">
            <v>Operator</v>
          </cell>
          <cell r="Q200" t="str">
            <v>B1</v>
          </cell>
          <cell r="R200" t="str">
            <v>Grup Shift</v>
          </cell>
          <cell r="S200" t="str">
            <v>Aktif</v>
          </cell>
          <cell r="T200"/>
          <cell r="U200" t="str">
            <v>AP240526</v>
          </cell>
          <cell r="V200" t="str">
            <v>Instant</v>
          </cell>
          <cell r="W200">
            <v>54</v>
          </cell>
          <cell r="X200">
            <v>30</v>
          </cell>
          <cell r="Y200" t="str">
            <v>K/1</v>
          </cell>
          <cell r="Z200">
            <v>3</v>
          </cell>
          <cell r="AA200" t="str">
            <v>Ya</v>
          </cell>
          <cell r="AB200" t="str">
            <v>Ya</v>
          </cell>
          <cell r="AC200" t="str">
            <v>Ya</v>
          </cell>
        </row>
        <row r="201">
          <cell r="B201" t="str">
            <v>20183</v>
          </cell>
          <cell r="C201" t="str">
            <v>Muhammad Chojin</v>
          </cell>
          <cell r="D201" t="str">
            <v>Dsn Sobowidoro RT.1 RW.7 Kel.Trosobo Kec.Taman</v>
          </cell>
          <cell r="E201" t="str">
            <v>Sidoarjo</v>
          </cell>
          <cell r="F201"/>
          <cell r="G201" t="str">
            <v>3515130911760007</v>
          </cell>
          <cell r="H201" t="str">
            <v>085850069002</v>
          </cell>
          <cell r="I201">
            <v>44933</v>
          </cell>
          <cell r="J201">
            <v>28014</v>
          </cell>
          <cell r="K201"/>
          <cell r="L201" t="str">
            <v>Islam</v>
          </cell>
          <cell r="M201" t="str">
            <v>Sidoarjo</v>
          </cell>
          <cell r="N201" t="str">
            <v>Produksi</v>
          </cell>
          <cell r="O201" t="str">
            <v>WWTP</v>
          </cell>
          <cell r="P201" t="str">
            <v>Operator</v>
          </cell>
          <cell r="Q201" t="str">
            <v>B1</v>
          </cell>
          <cell r="R201" t="str">
            <v>Grup Shift</v>
          </cell>
          <cell r="S201" t="str">
            <v>Aktif</v>
          </cell>
          <cell r="T201"/>
          <cell r="U201" t="str">
            <v>BP240526</v>
          </cell>
          <cell r="V201" t="str">
            <v>Instant</v>
          </cell>
          <cell r="W201">
            <v>49</v>
          </cell>
          <cell r="X201">
            <v>29</v>
          </cell>
          <cell r="Y201" t="str">
            <v>K/2</v>
          </cell>
          <cell r="Z201">
            <v>3</v>
          </cell>
          <cell r="AA201" t="str">
            <v>Ya</v>
          </cell>
          <cell r="AB201" t="str">
            <v>Ya</v>
          </cell>
          <cell r="AC201" t="str">
            <v>Ya</v>
          </cell>
        </row>
        <row r="202">
          <cell r="B202" t="str">
            <v>20592</v>
          </cell>
          <cell r="C202" t="str">
            <v>Rizal Budiarto</v>
          </cell>
          <cell r="D202" t="str">
            <v>KRAMAT RT 03 RW 04 KRAMAT JEGU TROSOBO</v>
          </cell>
          <cell r="E202" t="str">
            <v>Sidoarjo</v>
          </cell>
          <cell r="F202"/>
          <cell r="G202" t="str">
            <v>3577031203860001</v>
          </cell>
          <cell r="H202" t="str">
            <v>087854102225</v>
          </cell>
          <cell r="I202">
            <v>44933</v>
          </cell>
          <cell r="J202">
            <v>31749</v>
          </cell>
          <cell r="K202"/>
          <cell r="L202" t="str">
            <v>Islam</v>
          </cell>
          <cell r="M202" t="str">
            <v>Sidoarjo</v>
          </cell>
          <cell r="N202" t="str">
            <v>Produksi</v>
          </cell>
          <cell r="O202" t="str">
            <v>WWTP</v>
          </cell>
          <cell r="P202" t="str">
            <v>Operator</v>
          </cell>
          <cell r="Q202" t="str">
            <v>B1</v>
          </cell>
          <cell r="R202" t="str">
            <v>Grup Shift</v>
          </cell>
          <cell r="S202" t="str">
            <v>Aktif</v>
          </cell>
          <cell r="T202"/>
          <cell r="U202" t="str">
            <v>SP240526</v>
          </cell>
          <cell r="V202" t="str">
            <v>Instant</v>
          </cell>
          <cell r="W202">
            <v>40</v>
          </cell>
          <cell r="X202">
            <v>21</v>
          </cell>
          <cell r="Y202" t="str">
            <v>K/2</v>
          </cell>
          <cell r="Z202">
            <v>3</v>
          </cell>
          <cell r="AA202" t="str">
            <v>Ya</v>
          </cell>
          <cell r="AB202" t="str">
            <v>Ya</v>
          </cell>
          <cell r="AC202" t="str">
            <v>Ya</v>
          </cell>
        </row>
        <row r="203">
          <cell r="B203" t="str">
            <v>20655</v>
          </cell>
          <cell r="C203" t="str">
            <v>Sugeng Mulyo</v>
          </cell>
          <cell r="D203" t="str">
            <v>Dsn Sidorogo Rt.03 Rw.06 Trosobo, Taman</v>
          </cell>
          <cell r="E203" t="str">
            <v>Sidoarjo</v>
          </cell>
          <cell r="F203"/>
          <cell r="G203" t="str">
            <v>3506211408870004</v>
          </cell>
          <cell r="H203" t="str">
            <v>085606167533</v>
          </cell>
          <cell r="I203">
            <v>44933</v>
          </cell>
          <cell r="J203" t="e">
            <v>#VALUE!</v>
          </cell>
          <cell r="K203"/>
          <cell r="L203" t="str">
            <v>Islam</v>
          </cell>
          <cell r="M203" t="str">
            <v>Sidoarjo</v>
          </cell>
          <cell r="N203" t="str">
            <v>Produksi</v>
          </cell>
          <cell r="O203" t="str">
            <v>WWTP</v>
          </cell>
          <cell r="P203" t="str">
            <v>Operator</v>
          </cell>
          <cell r="Q203" t="str">
            <v>B1</v>
          </cell>
          <cell r="R203" t="str">
            <v>Grup Shift</v>
          </cell>
          <cell r="S203" t="str">
            <v>Aktif</v>
          </cell>
          <cell r="T203"/>
          <cell r="U203" t="str">
            <v>BP240526</v>
          </cell>
          <cell r="V203" t="str">
            <v>Instant</v>
          </cell>
          <cell r="W203">
            <v>38</v>
          </cell>
          <cell r="X203">
            <v>16</v>
          </cell>
          <cell r="Y203" t="str">
            <v>K/2</v>
          </cell>
          <cell r="Z203">
            <v>3</v>
          </cell>
          <cell r="AA203" t="str">
            <v>Ya</v>
          </cell>
          <cell r="AB203" t="str">
            <v>Ya</v>
          </cell>
          <cell r="AC203" t="str">
            <v>Ya</v>
          </cell>
        </row>
        <row r="204">
          <cell r="B204" t="str">
            <v>20946</v>
          </cell>
          <cell r="C204" t="str">
            <v>Wahid Triono</v>
          </cell>
          <cell r="D204" t="str">
            <v>Mliriprowo Rt.17 Rw.18 Mliriprowo Kec. Tarik, Kab. Sidoarjo (61265)</v>
          </cell>
          <cell r="E204" t="str">
            <v>Sidoarjo</v>
          </cell>
          <cell r="F204"/>
          <cell r="G204" t="str">
            <v>3576021709930001</v>
          </cell>
          <cell r="H204" t="str">
            <v>089612392603</v>
          </cell>
          <cell r="I204" t="e">
            <v>#VALUE!</v>
          </cell>
          <cell r="J204" t="e">
            <v>#VALUE!</v>
          </cell>
          <cell r="K204"/>
          <cell r="L204" t="str">
            <v>Islam</v>
          </cell>
          <cell r="M204" t="str">
            <v>Sidoarjo</v>
          </cell>
          <cell r="N204" t="str">
            <v>Produksi</v>
          </cell>
          <cell r="O204" t="str">
            <v>WWTP</v>
          </cell>
          <cell r="P204" t="str">
            <v>Operator</v>
          </cell>
          <cell r="Q204" t="str">
            <v>A1</v>
          </cell>
          <cell r="R204" t="str">
            <v>Grup Shift</v>
          </cell>
          <cell r="S204" t="str">
            <v>Aktif</v>
          </cell>
          <cell r="T204"/>
          <cell r="U204" t="str">
            <v>AP240526</v>
          </cell>
          <cell r="V204" t="str">
            <v>Instant</v>
          </cell>
          <cell r="W204">
            <v>32</v>
          </cell>
          <cell r="X204">
            <v>0</v>
          </cell>
          <cell r="Y204" t="str">
            <v>K/1</v>
          </cell>
          <cell r="Z204">
            <v>0</v>
          </cell>
          <cell r="AA204" t="str">
            <v>Ya</v>
          </cell>
          <cell r="AB204" t="str">
            <v>Ya</v>
          </cell>
          <cell r="AC204" t="str">
            <v>Ya</v>
          </cell>
        </row>
        <row r="205">
          <cell r="B205" t="str">
            <v>30247</v>
          </cell>
          <cell r="C205" t="str">
            <v>Tio Lily Sujiati,Dra</v>
          </cell>
          <cell r="D205" t="str">
            <v>Darmo Permai Selatan 8 / 21 Kel. Kalikendal Kec. Dukuh Pakis</v>
          </cell>
          <cell r="E205" t="str">
            <v>Surabaya</v>
          </cell>
          <cell r="F205"/>
          <cell r="G205" t="str">
            <v>3578216006530001</v>
          </cell>
          <cell r="H205" t="str">
            <v>0818396517</v>
          </cell>
          <cell r="I205">
            <v>44933</v>
          </cell>
          <cell r="J205" t="e">
            <v>#VALUE!</v>
          </cell>
          <cell r="K205"/>
          <cell r="L205" t="str">
            <v>Kristen Katolik</v>
          </cell>
          <cell r="M205" t="str">
            <v>Sidoarjo</v>
          </cell>
          <cell r="N205" t="str">
            <v>Lab., QC., &amp; QA</v>
          </cell>
          <cell r="O205" t="str">
            <v>Laborat. Q.C &amp; Q.A</v>
          </cell>
          <cell r="P205" t="str">
            <v>Manager</v>
          </cell>
          <cell r="Q205" t="str">
            <v>II</v>
          </cell>
          <cell r="R205" t="str">
            <v>Shift</v>
          </cell>
          <cell r="S205" t="str">
            <v>Aktif</v>
          </cell>
          <cell r="T205" t="str">
            <v>NS1</v>
          </cell>
          <cell r="U205"/>
          <cell r="V205" t="str">
            <v>IG_PROD</v>
          </cell>
          <cell r="W205">
            <v>73</v>
          </cell>
          <cell r="X205">
            <v>29</v>
          </cell>
          <cell r="Y205" t="str">
            <v>T/0</v>
          </cell>
          <cell r="Z205">
            <v>3</v>
          </cell>
          <cell r="AA205" t="str">
            <v>Ya</v>
          </cell>
          <cell r="AB205" t="str">
            <v>Tidak</v>
          </cell>
          <cell r="AC205" t="str">
            <v>Tidak</v>
          </cell>
        </row>
        <row r="206">
          <cell r="B206" t="str">
            <v>30314</v>
          </cell>
          <cell r="C206" t="str">
            <v>Iwan Prasetyo</v>
          </cell>
          <cell r="D206" t="str">
            <v>Balongsari GT- Royong No.63 RT.4 RW.1 Kel.Balongsari - Kec. Magersari</v>
          </cell>
          <cell r="E206" t="str">
            <v>Kodya Mojokerto</v>
          </cell>
          <cell r="F206"/>
          <cell r="G206" t="str">
            <v>3576020505770008</v>
          </cell>
          <cell r="H206" t="str">
            <v>085954103451</v>
          </cell>
          <cell r="I206">
            <v>44933</v>
          </cell>
          <cell r="J206">
            <v>28250</v>
          </cell>
          <cell r="K206"/>
          <cell r="L206" t="str">
            <v>Islam</v>
          </cell>
          <cell r="M206" t="str">
            <v>Sidoarjo</v>
          </cell>
          <cell r="N206" t="str">
            <v>Lab., QC., &amp; QA</v>
          </cell>
          <cell r="O206" t="str">
            <v>Analisa Fisika &amp; Analisa Packing Instant</v>
          </cell>
          <cell r="P206" t="str">
            <v>Kepala Regu</v>
          </cell>
          <cell r="Q206" t="str">
            <v>B1</v>
          </cell>
          <cell r="R206" t="str">
            <v>Grup Shift</v>
          </cell>
          <cell r="S206" t="str">
            <v>Aktif</v>
          </cell>
          <cell r="T206"/>
          <cell r="U206" t="str">
            <v>BP240526</v>
          </cell>
          <cell r="V206" t="str">
            <v>IG_PROD</v>
          </cell>
          <cell r="W206">
            <v>49</v>
          </cell>
          <cell r="X206">
            <v>29</v>
          </cell>
          <cell r="Y206" t="str">
            <v>K/1</v>
          </cell>
          <cell r="Z206">
            <v>3</v>
          </cell>
          <cell r="AA206" t="str">
            <v>Ya</v>
          </cell>
          <cell r="AB206" t="str">
            <v>Ya</v>
          </cell>
          <cell r="AC206" t="str">
            <v>Ya</v>
          </cell>
        </row>
        <row r="207">
          <cell r="B207" t="str">
            <v>30315</v>
          </cell>
          <cell r="C207" t="str">
            <v>Roni Wijaya</v>
          </cell>
          <cell r="D207" t="str">
            <v>Dsn. Sidonganti RT.04 RW.02 Ngingasrembyong - Sooko</v>
          </cell>
          <cell r="E207" t="str">
            <v>Mojokerto</v>
          </cell>
          <cell r="F207"/>
          <cell r="G207" t="str">
            <v>3516130301760003</v>
          </cell>
          <cell r="H207" t="str">
            <v>089525366114</v>
          </cell>
          <cell r="I207">
            <v>44933</v>
          </cell>
          <cell r="J207">
            <v>27820</v>
          </cell>
          <cell r="K207"/>
          <cell r="L207" t="str">
            <v>Islam</v>
          </cell>
          <cell r="M207" t="str">
            <v>Sidoarjo</v>
          </cell>
          <cell r="N207" t="str">
            <v>Lab., QC., &amp; QA</v>
          </cell>
          <cell r="O207" t="str">
            <v>Analisa Incoming Material</v>
          </cell>
          <cell r="P207" t="str">
            <v>Analis</v>
          </cell>
          <cell r="Q207" t="str">
            <v>B1</v>
          </cell>
          <cell r="R207" t="str">
            <v>Shift</v>
          </cell>
          <cell r="S207" t="str">
            <v>Aktif</v>
          </cell>
          <cell r="T207" t="str">
            <v>NS1</v>
          </cell>
          <cell r="U207"/>
          <cell r="V207" t="str">
            <v>IG_PROD</v>
          </cell>
          <cell r="W207">
            <v>50</v>
          </cell>
          <cell r="X207">
            <v>29</v>
          </cell>
          <cell r="Y207" t="str">
            <v>K/1</v>
          </cell>
          <cell r="Z207">
            <v>3</v>
          </cell>
          <cell r="AA207" t="str">
            <v>Ya</v>
          </cell>
          <cell r="AB207" t="str">
            <v>Ya</v>
          </cell>
          <cell r="AC207" t="str">
            <v>Ya</v>
          </cell>
        </row>
        <row r="208">
          <cell r="B208" t="str">
            <v>30318</v>
          </cell>
          <cell r="C208" t="str">
            <v>Esti Handayani</v>
          </cell>
          <cell r="D208" t="str">
            <v>Griya Kebon Agung Blok A.1 No.5 Rt.66 Rw.8 Kel. Kebonagung - Kec. Sukodono</v>
          </cell>
          <cell r="E208" t="str">
            <v>Sidoarjo</v>
          </cell>
          <cell r="F208"/>
          <cell r="G208" t="str">
            <v>3515146702690001</v>
          </cell>
          <cell r="H208" t="str">
            <v>081216288983</v>
          </cell>
          <cell r="I208">
            <v>44933</v>
          </cell>
          <cell r="J208" t="e">
            <v>#VALUE!</v>
          </cell>
          <cell r="K208"/>
          <cell r="L208" t="str">
            <v>Islam</v>
          </cell>
          <cell r="M208" t="str">
            <v>Sidoarjo</v>
          </cell>
          <cell r="N208" t="str">
            <v>Lab., QC., &amp; QA</v>
          </cell>
          <cell r="O208" t="str">
            <v>Lab.,Q.C</v>
          </cell>
          <cell r="P208" t="str">
            <v>Kabag.</v>
          </cell>
          <cell r="Q208" t="str">
            <v>III</v>
          </cell>
          <cell r="R208" t="str">
            <v>Shift</v>
          </cell>
          <cell r="S208" t="str">
            <v>Aktif</v>
          </cell>
          <cell r="T208" t="str">
            <v>NS1</v>
          </cell>
          <cell r="U208"/>
          <cell r="V208" t="str">
            <v>IG_PROD</v>
          </cell>
          <cell r="W208">
            <v>57</v>
          </cell>
          <cell r="X208">
            <v>29</v>
          </cell>
          <cell r="Y208" t="str">
            <v>T/0</v>
          </cell>
          <cell r="Z208">
            <v>3</v>
          </cell>
          <cell r="AA208" t="str">
            <v>Ya</v>
          </cell>
          <cell r="AB208" t="str">
            <v>Ya</v>
          </cell>
          <cell r="AC208" t="str">
            <v>Ya</v>
          </cell>
        </row>
        <row r="209">
          <cell r="B209" t="str">
            <v>30380</v>
          </cell>
          <cell r="C209" t="str">
            <v>Mochamad Aries Ariansyah</v>
          </cell>
          <cell r="D209" t="str">
            <v>Barengkrajan Rt.06 Rw.02 Barengkrajan - Krian</v>
          </cell>
          <cell r="E209" t="str">
            <v>Sidoarjo</v>
          </cell>
          <cell r="F209"/>
          <cell r="G209" t="str">
            <v>3578022303770003</v>
          </cell>
          <cell r="H209" t="str">
            <v>0895620128775</v>
          </cell>
          <cell r="I209">
            <v>44933</v>
          </cell>
          <cell r="J209" t="e">
            <v>#VALUE!</v>
          </cell>
          <cell r="K209"/>
          <cell r="L209" t="str">
            <v>Islam</v>
          </cell>
          <cell r="M209" t="str">
            <v>Sidoarjo</v>
          </cell>
          <cell r="N209" t="str">
            <v>Lab., QC., &amp; QA</v>
          </cell>
          <cell r="O209" t="str">
            <v>Analisa Mikrobiologi</v>
          </cell>
          <cell r="P209" t="str">
            <v>Analis</v>
          </cell>
          <cell r="Q209" t="str">
            <v>B1</v>
          </cell>
          <cell r="R209" t="str">
            <v>Grup Shift</v>
          </cell>
          <cell r="S209" t="str">
            <v>Aktif</v>
          </cell>
          <cell r="T209"/>
          <cell r="U209" t="str">
            <v>MICB240526</v>
          </cell>
          <cell r="V209" t="str">
            <v>IG_PROD</v>
          </cell>
          <cell r="W209">
            <v>49</v>
          </cell>
          <cell r="X209">
            <v>29</v>
          </cell>
          <cell r="Y209" t="str">
            <v>K/2</v>
          </cell>
          <cell r="Z209">
            <v>3</v>
          </cell>
          <cell r="AA209" t="str">
            <v>Ya</v>
          </cell>
          <cell r="AB209" t="str">
            <v>Ya</v>
          </cell>
          <cell r="AC209" t="str">
            <v>Ya</v>
          </cell>
        </row>
        <row r="210">
          <cell r="B210" t="str">
            <v>30386</v>
          </cell>
          <cell r="C210" t="str">
            <v>Priyo Budoyo</v>
          </cell>
          <cell r="D210" t="str">
            <v>Seketi RT.1 RW.1 Kel. Seketi - Kec. Mojoagung</v>
          </cell>
          <cell r="E210" t="str">
            <v>Jombang</v>
          </cell>
          <cell r="F210" t="str">
            <v>0321-490027</v>
          </cell>
          <cell r="G210" t="str">
            <v>3517060111770001</v>
          </cell>
          <cell r="H210" t="str">
            <v>081330649214</v>
          </cell>
          <cell r="I210">
            <v>44933</v>
          </cell>
          <cell r="J210">
            <v>28136</v>
          </cell>
          <cell r="K210"/>
          <cell r="L210" t="str">
            <v>Islam</v>
          </cell>
          <cell r="M210" t="str">
            <v>Sidoarjo</v>
          </cell>
          <cell r="N210" t="str">
            <v>Lab., QC., &amp; QA</v>
          </cell>
          <cell r="O210" t="str">
            <v>Analisa Fisika &amp; Analisa Packing Instant</v>
          </cell>
          <cell r="P210" t="str">
            <v>Kepala Regu</v>
          </cell>
          <cell r="Q210" t="str">
            <v>B1</v>
          </cell>
          <cell r="R210" t="str">
            <v>Grup Shift</v>
          </cell>
          <cell r="S210" t="str">
            <v>Aktif</v>
          </cell>
          <cell r="T210"/>
          <cell r="U210" t="str">
            <v>AP240526</v>
          </cell>
          <cell r="V210" t="str">
            <v>IG_PROD</v>
          </cell>
          <cell r="W210">
            <v>48</v>
          </cell>
          <cell r="X210">
            <v>29</v>
          </cell>
          <cell r="Y210" t="str">
            <v>K/1</v>
          </cell>
          <cell r="Z210">
            <v>3</v>
          </cell>
          <cell r="AA210" t="str">
            <v>Ya</v>
          </cell>
          <cell r="AB210" t="str">
            <v>Ya</v>
          </cell>
          <cell r="AC210" t="str">
            <v>Ya</v>
          </cell>
        </row>
        <row r="211">
          <cell r="B211" t="str">
            <v>30412</v>
          </cell>
          <cell r="C211" t="str">
            <v>Poetoet Agus Perwiro</v>
          </cell>
          <cell r="D211" t="str">
            <v>Jl. Nusa Indah Dsn. Kemendung RT.6 RW.1 Kel. Sidodadi - Kec. Taman</v>
          </cell>
          <cell r="E211" t="str">
            <v>Sidoarjo</v>
          </cell>
          <cell r="F211"/>
          <cell r="G211" t="str">
            <v>3515132211710011</v>
          </cell>
          <cell r="H211" t="str">
            <v>085850117009</v>
          </cell>
          <cell r="I211">
            <v>44933</v>
          </cell>
          <cell r="J211" t="e">
            <v>#VALUE!</v>
          </cell>
          <cell r="K211"/>
          <cell r="L211" t="str">
            <v>Islam</v>
          </cell>
          <cell r="M211" t="str">
            <v>Sidoarjo</v>
          </cell>
          <cell r="N211" t="str">
            <v>Lab., QC., &amp; QA</v>
          </cell>
          <cell r="O211" t="str">
            <v>Analisa Q.A</v>
          </cell>
          <cell r="P211" t="str">
            <v>Supervisor</v>
          </cell>
          <cell r="Q211" t="str">
            <v>D1</v>
          </cell>
          <cell r="R211" t="str">
            <v>Shift</v>
          </cell>
          <cell r="S211" t="str">
            <v>Aktif</v>
          </cell>
          <cell r="T211" t="str">
            <v>NS1</v>
          </cell>
          <cell r="U211"/>
          <cell r="V211" t="str">
            <v>IG_PROD</v>
          </cell>
          <cell r="W211">
            <v>54</v>
          </cell>
          <cell r="X211">
            <v>29</v>
          </cell>
          <cell r="Y211" t="str">
            <v>K/0</v>
          </cell>
          <cell r="Z211">
            <v>3</v>
          </cell>
          <cell r="AA211" t="str">
            <v>Ya</v>
          </cell>
          <cell r="AB211" t="str">
            <v>Ya</v>
          </cell>
          <cell r="AC211" t="str">
            <v>Ya</v>
          </cell>
        </row>
        <row r="212">
          <cell r="B212" t="str">
            <v>30431</v>
          </cell>
          <cell r="C212" t="str">
            <v>Moh Robbi</v>
          </cell>
          <cell r="D212" t="str">
            <v>Trosobo RT.03 / Rw.04 Trosobo Taman</v>
          </cell>
          <cell r="E212" t="str">
            <v>Sidoarjo</v>
          </cell>
          <cell r="F212"/>
          <cell r="G212" t="str">
            <v>3516162712780001</v>
          </cell>
          <cell r="H212" t="str">
            <v>0817597379</v>
          </cell>
          <cell r="I212">
            <v>44933</v>
          </cell>
          <cell r="J212" t="e">
            <v>#VALUE!</v>
          </cell>
          <cell r="K212"/>
          <cell r="L212" t="str">
            <v>Islam</v>
          </cell>
          <cell r="M212" t="str">
            <v>Sidoarjo</v>
          </cell>
          <cell r="N212" t="str">
            <v>Lab., QC., &amp; QA</v>
          </cell>
          <cell r="O212" t="str">
            <v>Analisa Organoleptik</v>
          </cell>
          <cell r="P212" t="str">
            <v>Kepala Regu</v>
          </cell>
          <cell r="Q212" t="str">
            <v>B1</v>
          </cell>
          <cell r="R212" t="str">
            <v>Shift</v>
          </cell>
          <cell r="S212" t="str">
            <v>Aktif</v>
          </cell>
          <cell r="T212" t="str">
            <v>NS1</v>
          </cell>
          <cell r="U212"/>
          <cell r="V212" t="str">
            <v>IG_PROD</v>
          </cell>
          <cell r="W212">
            <v>47</v>
          </cell>
          <cell r="X212">
            <v>28</v>
          </cell>
          <cell r="Y212" t="str">
            <v>K/2</v>
          </cell>
          <cell r="Z212">
            <v>3</v>
          </cell>
          <cell r="AA212" t="str">
            <v>Ya</v>
          </cell>
          <cell r="AB212" t="str">
            <v>Ya</v>
          </cell>
          <cell r="AC212" t="str">
            <v>Ya</v>
          </cell>
        </row>
        <row r="213">
          <cell r="B213" t="str">
            <v>30433</v>
          </cell>
          <cell r="C213" t="str">
            <v>Ratno Adwi Pidekso, ST.</v>
          </cell>
          <cell r="D213" t="str">
            <v>Perum Grahapermata Sidorejo Indah M-25 Sidorejo, Krian</v>
          </cell>
          <cell r="E213" t="str">
            <v>Sidoarjo</v>
          </cell>
          <cell r="F213"/>
          <cell r="G213" t="str">
            <v>3578041009690009</v>
          </cell>
          <cell r="H213" t="str">
            <v>082142096109</v>
          </cell>
          <cell r="I213">
            <v>44933</v>
          </cell>
          <cell r="J213">
            <v>25485</v>
          </cell>
          <cell r="K213"/>
          <cell r="L213" t="str">
            <v>Islam</v>
          </cell>
          <cell r="M213" t="str">
            <v>Sidoarjo</v>
          </cell>
          <cell r="N213" t="str">
            <v>Lab., QC., &amp; QA</v>
          </cell>
          <cell r="O213" t="str">
            <v>Analisa Q.A</v>
          </cell>
          <cell r="P213" t="str">
            <v>Kabag.</v>
          </cell>
          <cell r="Q213" t="str">
            <v>III</v>
          </cell>
          <cell r="R213" t="str">
            <v>Shift</v>
          </cell>
          <cell r="S213" t="str">
            <v>Aktif</v>
          </cell>
          <cell r="T213" t="str">
            <v>NS1</v>
          </cell>
          <cell r="U213"/>
          <cell r="V213" t="str">
            <v>IG_PROD</v>
          </cell>
          <cell r="W213">
            <v>56</v>
          </cell>
          <cell r="X213">
            <v>28</v>
          </cell>
          <cell r="Y213" t="str">
            <v>K/1</v>
          </cell>
          <cell r="Z213">
            <v>3</v>
          </cell>
          <cell r="AA213" t="str">
            <v>Ya</v>
          </cell>
          <cell r="AB213" t="str">
            <v>Ya</v>
          </cell>
          <cell r="AC213" t="str">
            <v>Ya</v>
          </cell>
        </row>
        <row r="214">
          <cell r="B214" t="str">
            <v>30553</v>
          </cell>
          <cell r="C214" t="str">
            <v>Abdul Rahmat Sanjaya</v>
          </cell>
          <cell r="D214" t="str">
            <v>Perum pondok teratai Jl. Matahari No. 55 Dsn. Mengelo RT.08 RW.13 Ds. Sooko Kec. Sooko</v>
          </cell>
          <cell r="E214" t="str">
            <v>Mojokerto</v>
          </cell>
          <cell r="F214"/>
          <cell r="G214" t="str">
            <v>3508042505790002</v>
          </cell>
          <cell r="H214" t="str">
            <v>08984082212</v>
          </cell>
          <cell r="I214">
            <v>44933</v>
          </cell>
          <cell r="J214" t="e">
            <v>#VALUE!</v>
          </cell>
          <cell r="K214"/>
          <cell r="L214" t="str">
            <v>Islam</v>
          </cell>
          <cell r="M214" t="str">
            <v>Sidoarjo</v>
          </cell>
          <cell r="N214" t="str">
            <v>Lab., QC., &amp; QA</v>
          </cell>
          <cell r="O214" t="str">
            <v>Analisa Mikrobiologi</v>
          </cell>
          <cell r="P214" t="str">
            <v>Staf Equal To Spv</v>
          </cell>
          <cell r="Q214" t="str">
            <v>C3</v>
          </cell>
          <cell r="R214" t="str">
            <v>Shift</v>
          </cell>
          <cell r="S214" t="str">
            <v>Aktif</v>
          </cell>
          <cell r="T214" t="str">
            <v>NS1</v>
          </cell>
          <cell r="U214"/>
          <cell r="V214" t="str">
            <v>IG_PROD</v>
          </cell>
          <cell r="W214">
            <v>47</v>
          </cell>
          <cell r="X214">
            <v>23</v>
          </cell>
          <cell r="Y214" t="str">
            <v>K/2</v>
          </cell>
          <cell r="Z214">
            <v>3</v>
          </cell>
          <cell r="AA214" t="str">
            <v>Ya</v>
          </cell>
          <cell r="AB214" t="str">
            <v>Ya</v>
          </cell>
          <cell r="AC214" t="str">
            <v>Ya</v>
          </cell>
        </row>
        <row r="215">
          <cell r="B215" t="str">
            <v>30587</v>
          </cell>
          <cell r="C215" t="str">
            <v>Adhitya Agus Praptono</v>
          </cell>
          <cell r="D215" t="str">
            <v>Jln. Pekukuhan Mojogeneng RT.02 RW 02 Pekukuhan - Mojosari</v>
          </cell>
          <cell r="E215" t="str">
            <v>Mojokerto</v>
          </cell>
          <cell r="F215"/>
          <cell r="G215" t="str">
            <v>3516081608830003</v>
          </cell>
          <cell r="H215" t="str">
            <v>085730125634</v>
          </cell>
          <cell r="I215">
            <v>44933</v>
          </cell>
          <cell r="J215" t="e">
            <v>#VALUE!</v>
          </cell>
          <cell r="K215"/>
          <cell r="L215" t="str">
            <v>Islam</v>
          </cell>
          <cell r="M215" t="str">
            <v>Sidoarjo</v>
          </cell>
          <cell r="N215" t="str">
            <v>Lab., QC., &amp; QA</v>
          </cell>
          <cell r="O215" t="str">
            <v>Analisa Mikrobiologi</v>
          </cell>
          <cell r="P215" t="str">
            <v>Analis</v>
          </cell>
          <cell r="Q215" t="str">
            <v>B1</v>
          </cell>
          <cell r="R215" t="str">
            <v>Grup Shift</v>
          </cell>
          <cell r="S215" t="str">
            <v>Aktif</v>
          </cell>
          <cell r="T215"/>
          <cell r="U215" t="str">
            <v>MICA240526</v>
          </cell>
          <cell r="V215" t="str">
            <v>IG_PROD</v>
          </cell>
          <cell r="W215">
            <v>42</v>
          </cell>
          <cell r="X215">
            <v>21</v>
          </cell>
          <cell r="Y215" t="str">
            <v>K/3</v>
          </cell>
          <cell r="Z215">
            <v>3</v>
          </cell>
          <cell r="AA215" t="str">
            <v>Ya</v>
          </cell>
          <cell r="AB215" t="str">
            <v>Ya</v>
          </cell>
          <cell r="AC215" t="str">
            <v>Ya</v>
          </cell>
        </row>
        <row r="216">
          <cell r="B216" t="str">
            <v>30589</v>
          </cell>
          <cell r="C216" t="str">
            <v>Nur Sait ,A.Md</v>
          </cell>
          <cell r="D216" t="str">
            <v>Tandes Lor Gg. 03/34 RT.04 RW.08 Tandes  Tandes</v>
          </cell>
          <cell r="E216" t="str">
            <v>Surabaya</v>
          </cell>
          <cell r="F216"/>
          <cell r="G216" t="str">
            <v>3578140907820005</v>
          </cell>
          <cell r="H216" t="str">
            <v>085731392668</v>
          </cell>
          <cell r="I216">
            <v>44933</v>
          </cell>
          <cell r="J216">
            <v>30201</v>
          </cell>
          <cell r="K216"/>
          <cell r="L216" t="str">
            <v>Islam</v>
          </cell>
          <cell r="M216" t="str">
            <v>Sidoarjo</v>
          </cell>
          <cell r="N216" t="str">
            <v>Lab., QC., &amp; QA</v>
          </cell>
          <cell r="O216" t="str">
            <v>Analisa Fisika &amp; Analisa Packing Instant</v>
          </cell>
          <cell r="P216" t="str">
            <v>Kepala Regu</v>
          </cell>
          <cell r="Q216" t="str">
            <v>B1</v>
          </cell>
          <cell r="R216" t="str">
            <v>Grup Shift</v>
          </cell>
          <cell r="S216" t="str">
            <v>Aktif</v>
          </cell>
          <cell r="T216"/>
          <cell r="U216" t="str">
            <v>SP240526</v>
          </cell>
          <cell r="V216" t="str">
            <v>IG_PROD</v>
          </cell>
          <cell r="W216">
            <v>44</v>
          </cell>
          <cell r="X216">
            <v>21</v>
          </cell>
          <cell r="Y216" t="str">
            <v>K/2</v>
          </cell>
          <cell r="Z216">
            <v>3</v>
          </cell>
          <cell r="AA216" t="str">
            <v>Ya</v>
          </cell>
          <cell r="AB216" t="str">
            <v>Ya</v>
          </cell>
          <cell r="AC216" t="str">
            <v>Ya</v>
          </cell>
        </row>
        <row r="217">
          <cell r="B217" t="str">
            <v>30597</v>
          </cell>
          <cell r="C217" t="str">
            <v>Mukammad Sholi</v>
          </cell>
          <cell r="D217" t="str">
            <v>Ds.Balun RT.01 RW.01 Balun - Turi</v>
          </cell>
          <cell r="E217" t="str">
            <v>Lamongan</v>
          </cell>
          <cell r="F217"/>
          <cell r="G217" t="str">
            <v>3524212212820001</v>
          </cell>
          <cell r="H217" t="str">
            <v>08967562207</v>
          </cell>
          <cell r="I217">
            <v>44933</v>
          </cell>
          <cell r="J217" t="e">
            <v>#VALUE!</v>
          </cell>
          <cell r="K217"/>
          <cell r="L217" t="str">
            <v>Islam</v>
          </cell>
          <cell r="M217" t="str">
            <v>Sidoarjo</v>
          </cell>
          <cell r="N217" t="str">
            <v>Lab., QC., &amp; QA</v>
          </cell>
          <cell r="O217" t="str">
            <v>Analisa Kimia</v>
          </cell>
          <cell r="P217" t="str">
            <v>Analis</v>
          </cell>
          <cell r="Q217" t="str">
            <v>B1</v>
          </cell>
          <cell r="R217" t="str">
            <v>Shift</v>
          </cell>
          <cell r="S217" t="str">
            <v>Aktif</v>
          </cell>
          <cell r="T217" t="str">
            <v>NS1</v>
          </cell>
          <cell r="U217"/>
          <cell r="V217" t="str">
            <v>IG_PROD</v>
          </cell>
          <cell r="W217">
            <v>43</v>
          </cell>
          <cell r="X217">
            <v>21</v>
          </cell>
          <cell r="Y217" t="str">
            <v>K/2</v>
          </cell>
          <cell r="Z217">
            <v>3</v>
          </cell>
          <cell r="AA217" t="str">
            <v>Ya</v>
          </cell>
          <cell r="AB217" t="str">
            <v>Ya</v>
          </cell>
          <cell r="AC217" t="str">
            <v>Ya</v>
          </cell>
        </row>
        <row r="218">
          <cell r="B218" t="str">
            <v>30599</v>
          </cell>
          <cell r="C218" t="str">
            <v>Deffriaridian Firdianto</v>
          </cell>
          <cell r="D218" t="str">
            <v>Kampung Malang Wetan 3/14 RT.07 RW.05 Tegalsari  Tegalsari</v>
          </cell>
          <cell r="E218" t="str">
            <v>Surabaya</v>
          </cell>
          <cell r="F218"/>
          <cell r="G218" t="str">
            <v>3578101506850009</v>
          </cell>
          <cell r="H218" t="str">
            <v>081337730976</v>
          </cell>
          <cell r="I218">
            <v>44933</v>
          </cell>
          <cell r="J218" t="e">
            <v>#VALUE!</v>
          </cell>
          <cell r="K218"/>
          <cell r="L218" t="str">
            <v>Islam</v>
          </cell>
          <cell r="M218" t="str">
            <v>Sidoarjo</v>
          </cell>
          <cell r="N218" t="str">
            <v>Lab., QC., &amp; QA</v>
          </cell>
          <cell r="O218" t="str">
            <v>Analisa Fisika &amp; Analisa Packing Instant</v>
          </cell>
          <cell r="P218" t="str">
            <v>Analis</v>
          </cell>
          <cell r="Q218" t="str">
            <v>B1</v>
          </cell>
          <cell r="R218" t="str">
            <v>Grup Shift</v>
          </cell>
          <cell r="S218" t="str">
            <v>Aktif</v>
          </cell>
          <cell r="T218"/>
          <cell r="U218" t="str">
            <v>BP240526</v>
          </cell>
          <cell r="V218" t="str">
            <v>IG_PROD</v>
          </cell>
          <cell r="W218">
            <v>41</v>
          </cell>
          <cell r="X218">
            <v>21</v>
          </cell>
          <cell r="Y218" t="str">
            <v>T/2</v>
          </cell>
          <cell r="Z218">
            <v>3</v>
          </cell>
          <cell r="AA218" t="str">
            <v>Ya</v>
          </cell>
          <cell r="AB218" t="str">
            <v>Ya</v>
          </cell>
          <cell r="AC218" t="str">
            <v>Ya</v>
          </cell>
        </row>
        <row r="219">
          <cell r="B219" t="str">
            <v>30601</v>
          </cell>
          <cell r="C219" t="str">
            <v>Dian Hermawan, A.Md</v>
          </cell>
          <cell r="D219" t="str">
            <v>Ngengor RT.006 RW.002 Ngarjo Kec. Mojoanyar</v>
          </cell>
          <cell r="E219" t="str">
            <v>Mojokerto</v>
          </cell>
          <cell r="F219"/>
          <cell r="G219" t="str">
            <v>3503140903830002</v>
          </cell>
          <cell r="H219" t="str">
            <v>0811306036</v>
          </cell>
          <cell r="I219">
            <v>44933</v>
          </cell>
          <cell r="J219">
            <v>30562</v>
          </cell>
          <cell r="K219"/>
          <cell r="L219" t="str">
            <v>Islam</v>
          </cell>
          <cell r="M219" t="str">
            <v>Sidoarjo</v>
          </cell>
          <cell r="N219" t="str">
            <v>Lab., QC., &amp; QA</v>
          </cell>
          <cell r="O219" t="str">
            <v>Analisa Kimia</v>
          </cell>
          <cell r="P219" t="str">
            <v>Staf Equal To Spv</v>
          </cell>
          <cell r="Q219" t="str">
            <v>C3</v>
          </cell>
          <cell r="R219" t="str">
            <v>Shift</v>
          </cell>
          <cell r="S219" t="str">
            <v>Aktif</v>
          </cell>
          <cell r="T219" t="str">
            <v>NS1</v>
          </cell>
          <cell r="U219"/>
          <cell r="V219" t="str">
            <v>IG_PROD</v>
          </cell>
          <cell r="W219">
            <v>43</v>
          </cell>
          <cell r="X219">
            <v>21</v>
          </cell>
          <cell r="Y219" t="str">
            <v>K/1</v>
          </cell>
          <cell r="Z219">
            <v>3</v>
          </cell>
          <cell r="AA219" t="str">
            <v>Ya</v>
          </cell>
          <cell r="AB219" t="str">
            <v>Ya</v>
          </cell>
          <cell r="AC219" t="str">
            <v>Ya</v>
          </cell>
        </row>
        <row r="220">
          <cell r="B220" t="str">
            <v>30610</v>
          </cell>
          <cell r="C220" t="str">
            <v>Slamet Hari Santoso</v>
          </cell>
          <cell r="D220" t="str">
            <v>Ngengor Rt.006 Rw.002 Kel. Ngarjo Kec. Mojoanyar</v>
          </cell>
          <cell r="E220" t="str">
            <v>Mojokerto</v>
          </cell>
          <cell r="F220"/>
          <cell r="G220" t="str">
            <v>3516180307820003</v>
          </cell>
          <cell r="H220" t="str">
            <v>081331235467</v>
          </cell>
          <cell r="I220">
            <v>44933</v>
          </cell>
          <cell r="J220">
            <v>30017</v>
          </cell>
          <cell r="K220"/>
          <cell r="L220" t="str">
            <v>Islam</v>
          </cell>
          <cell r="M220" t="str">
            <v>Sidoarjo</v>
          </cell>
          <cell r="N220" t="str">
            <v>Lab., QC., &amp; QA</v>
          </cell>
          <cell r="O220" t="str">
            <v>Analisa Q.A</v>
          </cell>
          <cell r="P220" t="str">
            <v>Analis</v>
          </cell>
          <cell r="Q220" t="str">
            <v>A4</v>
          </cell>
          <cell r="R220" t="str">
            <v>Grup Shift</v>
          </cell>
          <cell r="S220" t="str">
            <v>Aktif</v>
          </cell>
          <cell r="T220"/>
          <cell r="U220" t="str">
            <v>SP240526</v>
          </cell>
          <cell r="V220" t="str">
            <v>IG_PROD</v>
          </cell>
          <cell r="W220">
            <v>44</v>
          </cell>
          <cell r="X220">
            <v>20</v>
          </cell>
          <cell r="Y220" t="str">
            <v>K/3</v>
          </cell>
          <cell r="Z220">
            <v>3</v>
          </cell>
          <cell r="AA220" t="str">
            <v>Ya</v>
          </cell>
          <cell r="AB220" t="str">
            <v>Ya</v>
          </cell>
          <cell r="AC220" t="str">
            <v>Ya</v>
          </cell>
        </row>
        <row r="221">
          <cell r="B221" t="str">
            <v>30615</v>
          </cell>
          <cell r="C221" t="str">
            <v>Kristantoadi</v>
          </cell>
          <cell r="D221" t="str">
            <v>Bendulmerisi Besar Selatan 50-A RT.03 RW.07 Bendul Merisi - Wonocolo</v>
          </cell>
          <cell r="E221" t="str">
            <v>Surabaya</v>
          </cell>
          <cell r="F221"/>
          <cell r="G221" t="str">
            <v>3578112412840002</v>
          </cell>
          <cell r="H221" t="str">
            <v>081246590998</v>
          </cell>
          <cell r="I221">
            <v>44933</v>
          </cell>
          <cell r="J221" t="e">
            <v>#VALUE!</v>
          </cell>
          <cell r="K221"/>
          <cell r="L221" t="str">
            <v>Islam</v>
          </cell>
          <cell r="M221" t="str">
            <v>Sidoarjo</v>
          </cell>
          <cell r="N221" t="str">
            <v>Lab., QC., &amp; QA</v>
          </cell>
          <cell r="O221" t="str">
            <v>Analisa Fisika &amp; Analisa Packing Instant</v>
          </cell>
          <cell r="P221" t="str">
            <v>Analis</v>
          </cell>
          <cell r="Q221" t="str">
            <v>B1</v>
          </cell>
          <cell r="R221" t="str">
            <v>Grup Shift</v>
          </cell>
          <cell r="S221" t="str">
            <v>Aktif</v>
          </cell>
          <cell r="T221"/>
          <cell r="U221" t="str">
            <v>SP240526</v>
          </cell>
          <cell r="V221" t="str">
            <v>IG_PROD</v>
          </cell>
          <cell r="W221">
            <v>41</v>
          </cell>
          <cell r="X221">
            <v>20</v>
          </cell>
          <cell r="Y221" t="str">
            <v>K/0</v>
          </cell>
          <cell r="Z221">
            <v>3</v>
          </cell>
          <cell r="AA221" t="str">
            <v>Ya</v>
          </cell>
          <cell r="AB221" t="str">
            <v>Ya</v>
          </cell>
          <cell r="AC221" t="str">
            <v>Ya</v>
          </cell>
        </row>
        <row r="222">
          <cell r="B222" t="str">
            <v>30616</v>
          </cell>
          <cell r="C222" t="str">
            <v>Dicky Saputra</v>
          </cell>
          <cell r="D222" t="str">
            <v>Dusun Wonosari RT.01 RW.02 Banyuurip  Kedamean</v>
          </cell>
          <cell r="E222" t="str">
            <v>Gresik</v>
          </cell>
          <cell r="F222"/>
          <cell r="G222" t="str">
            <v>3525131705860014</v>
          </cell>
          <cell r="H222" t="str">
            <v>082370999917</v>
          </cell>
          <cell r="I222">
            <v>44933</v>
          </cell>
          <cell r="J222" t="e">
            <v>#VALUE!</v>
          </cell>
          <cell r="K222"/>
          <cell r="L222" t="str">
            <v>Islam</v>
          </cell>
          <cell r="M222" t="str">
            <v>Sidoarjo</v>
          </cell>
          <cell r="N222" t="str">
            <v>Lab., QC., &amp; QA</v>
          </cell>
          <cell r="O222" t="str">
            <v>Analisa Fisika &amp; Analisa Packing Instant</v>
          </cell>
          <cell r="P222" t="str">
            <v>Kepala Regu</v>
          </cell>
          <cell r="Q222" t="str">
            <v>B1</v>
          </cell>
          <cell r="R222" t="str">
            <v>Grup Shift</v>
          </cell>
          <cell r="S222" t="str">
            <v>Aktif</v>
          </cell>
          <cell r="T222"/>
          <cell r="U222" t="str">
            <v>JP240526</v>
          </cell>
          <cell r="V222" t="str">
            <v>IG_PROD</v>
          </cell>
          <cell r="W222">
            <v>40</v>
          </cell>
          <cell r="X222">
            <v>20</v>
          </cell>
          <cell r="Y222" t="str">
            <v>K/2</v>
          </cell>
          <cell r="Z222">
            <v>3</v>
          </cell>
          <cell r="AA222" t="str">
            <v>Ya</v>
          </cell>
          <cell r="AB222" t="str">
            <v>Ya</v>
          </cell>
          <cell r="AC222" t="str">
            <v>Ya</v>
          </cell>
        </row>
        <row r="223">
          <cell r="B223" t="str">
            <v>30617</v>
          </cell>
          <cell r="C223" t="str">
            <v>Bagus Pambudi</v>
          </cell>
          <cell r="D223" t="str">
            <v>Dusun. Sumberrejo Rt.11 Rw.03 Kel. Sumberrejo, Wonoayu</v>
          </cell>
          <cell r="E223" t="str">
            <v>Sidoarjo</v>
          </cell>
          <cell r="F223"/>
          <cell r="G223" t="str">
            <v>3578041510830001</v>
          </cell>
          <cell r="H223" t="str">
            <v>082140025583</v>
          </cell>
          <cell r="I223">
            <v>44933</v>
          </cell>
          <cell r="J223" t="e">
            <v>#VALUE!</v>
          </cell>
          <cell r="K223"/>
          <cell r="L223" t="str">
            <v>Islam</v>
          </cell>
          <cell r="M223" t="str">
            <v>Sidoarjo</v>
          </cell>
          <cell r="N223" t="str">
            <v>Lab., QC., &amp; QA</v>
          </cell>
          <cell r="O223" t="str">
            <v>Analisa Kimia</v>
          </cell>
          <cell r="P223" t="str">
            <v>Analis</v>
          </cell>
          <cell r="Q223" t="str">
            <v>B1</v>
          </cell>
          <cell r="R223" t="str">
            <v>Shift</v>
          </cell>
          <cell r="S223" t="str">
            <v>Aktif</v>
          </cell>
          <cell r="T223" t="str">
            <v>NS1</v>
          </cell>
          <cell r="U223"/>
          <cell r="V223" t="str">
            <v>IG_PROD</v>
          </cell>
          <cell r="W223">
            <v>42</v>
          </cell>
          <cell r="X223">
            <v>20</v>
          </cell>
          <cell r="Y223" t="str">
            <v>K/2</v>
          </cell>
          <cell r="Z223">
            <v>3</v>
          </cell>
          <cell r="AA223" t="str">
            <v>Ya</v>
          </cell>
          <cell r="AB223" t="str">
            <v>Ya</v>
          </cell>
          <cell r="AC223" t="str">
            <v>Ya</v>
          </cell>
        </row>
        <row r="224">
          <cell r="B224" t="str">
            <v>30619</v>
          </cell>
          <cell r="C224" t="str">
            <v>Anugerah Pratama Wijanarko</v>
          </cell>
          <cell r="D224" t="str">
            <v>Wonosari Mulyo 8/26 Rt.18 Rw.07 Kel. Wonokusumo Kec. Semampir</v>
          </cell>
          <cell r="E224" t="str">
            <v>Surabaya</v>
          </cell>
          <cell r="F224"/>
          <cell r="G224" t="str">
            <v>3526041301870001</v>
          </cell>
          <cell r="H224" t="str">
            <v>085645133213</v>
          </cell>
          <cell r="I224">
            <v>44933</v>
          </cell>
          <cell r="J224" t="e">
            <v>#VALUE!</v>
          </cell>
          <cell r="K224"/>
          <cell r="L224" t="str">
            <v>Islam</v>
          </cell>
          <cell r="M224" t="str">
            <v>Sidoarjo</v>
          </cell>
          <cell r="N224" t="str">
            <v>Lab., QC., &amp; QA</v>
          </cell>
          <cell r="O224" t="str">
            <v>Analisa Q.A</v>
          </cell>
          <cell r="P224" t="str">
            <v>Analis</v>
          </cell>
          <cell r="Q224" t="str">
            <v>A4</v>
          </cell>
          <cell r="R224" t="str">
            <v>Grup Shift</v>
          </cell>
          <cell r="S224" t="str">
            <v>Aktif</v>
          </cell>
          <cell r="T224"/>
          <cell r="U224" t="str">
            <v>BP240526</v>
          </cell>
          <cell r="V224" t="str">
            <v>IG_PROD</v>
          </cell>
          <cell r="W224">
            <v>39</v>
          </cell>
          <cell r="X224">
            <v>20</v>
          </cell>
          <cell r="Y224" t="str">
            <v>K/3</v>
          </cell>
          <cell r="Z224">
            <v>3</v>
          </cell>
          <cell r="AA224" t="str">
            <v>Ya</v>
          </cell>
          <cell r="AB224" t="str">
            <v>Ya</v>
          </cell>
          <cell r="AC224" t="str">
            <v>Ya</v>
          </cell>
        </row>
        <row r="225">
          <cell r="B225" t="str">
            <v>30621</v>
          </cell>
          <cell r="C225" t="str">
            <v>Achmad Nuraini</v>
          </cell>
          <cell r="D225" t="str">
            <v>Dusun Tanjungan RT.01 RW.01 Tanjungan  Driyorejo</v>
          </cell>
          <cell r="E225" t="str">
            <v>Gresik</v>
          </cell>
          <cell r="F225"/>
          <cell r="G225" t="str">
            <v>3578262811820001</v>
          </cell>
          <cell r="H225" t="str">
            <v>08999060036</v>
          </cell>
          <cell r="I225">
            <v>44933</v>
          </cell>
          <cell r="J225" t="e">
            <v>#VALUE!</v>
          </cell>
          <cell r="K225"/>
          <cell r="L225" t="str">
            <v>Islam</v>
          </cell>
          <cell r="M225" t="str">
            <v>Sidoarjo</v>
          </cell>
          <cell r="N225" t="str">
            <v>Lab., QC., &amp; QA</v>
          </cell>
          <cell r="O225" t="str">
            <v>Analisa Mikrobiologi</v>
          </cell>
          <cell r="P225" t="str">
            <v>Analis</v>
          </cell>
          <cell r="Q225" t="str">
            <v>B1</v>
          </cell>
          <cell r="R225" t="str">
            <v>Grup Shift</v>
          </cell>
          <cell r="S225" t="str">
            <v>Aktif</v>
          </cell>
          <cell r="T225"/>
          <cell r="U225" t="str">
            <v>MICC240526</v>
          </cell>
          <cell r="V225" t="str">
            <v>IG_PROD</v>
          </cell>
          <cell r="W225">
            <v>43</v>
          </cell>
          <cell r="X225">
            <v>19</v>
          </cell>
          <cell r="Y225" t="str">
            <v>K/2</v>
          </cell>
          <cell r="Z225">
            <v>3</v>
          </cell>
          <cell r="AA225" t="str">
            <v>Ya</v>
          </cell>
          <cell r="AB225" t="str">
            <v>Ya</v>
          </cell>
          <cell r="AC225" t="str">
            <v>Ya</v>
          </cell>
        </row>
        <row r="226">
          <cell r="B226" t="str">
            <v>30640</v>
          </cell>
          <cell r="C226" t="str">
            <v>Andik Fiantono</v>
          </cell>
          <cell r="D226" t="str">
            <v>Waruberon RT.04 RW.01 Waruberon Kec. Balongbendo</v>
          </cell>
          <cell r="E226" t="str">
            <v>Sidoarjo</v>
          </cell>
          <cell r="F226"/>
          <cell r="G226" t="str">
            <v>3578261507880004</v>
          </cell>
          <cell r="H226" t="str">
            <v>0895805361040</v>
          </cell>
          <cell r="I226">
            <v>44933</v>
          </cell>
          <cell r="J226" t="e">
            <v>#VALUE!</v>
          </cell>
          <cell r="K226"/>
          <cell r="L226" t="str">
            <v>Islam</v>
          </cell>
          <cell r="M226" t="str">
            <v>Sidoarjo</v>
          </cell>
          <cell r="N226" t="str">
            <v>Lab., QC., &amp; QA</v>
          </cell>
          <cell r="O226" t="str">
            <v>Analisa Incoming Material</v>
          </cell>
          <cell r="P226" t="str">
            <v>Analis</v>
          </cell>
          <cell r="Q226" t="str">
            <v>B1</v>
          </cell>
          <cell r="R226" t="str">
            <v>Shift</v>
          </cell>
          <cell r="S226" t="str">
            <v>Aktif</v>
          </cell>
          <cell r="T226" t="str">
            <v>NS1</v>
          </cell>
          <cell r="U226"/>
          <cell r="V226" t="str">
            <v>IG_PROD</v>
          </cell>
          <cell r="W226">
            <v>38</v>
          </cell>
          <cell r="X226">
            <v>18</v>
          </cell>
          <cell r="Y226" t="str">
            <v>K/3</v>
          </cell>
          <cell r="Z226">
            <v>3</v>
          </cell>
          <cell r="AA226" t="str">
            <v>Ya</v>
          </cell>
          <cell r="AB226" t="str">
            <v>Ya</v>
          </cell>
          <cell r="AC226" t="str">
            <v>Ya</v>
          </cell>
        </row>
        <row r="227">
          <cell r="B227" t="str">
            <v>30651</v>
          </cell>
          <cell r="C227" t="str">
            <v>Aries Dwi Cahyanto</v>
          </cell>
          <cell r="D227" t="str">
            <v>Sidosermo 3 No. 32-K RT.01 RW. 05 Sidosermo Kec. Wonocolo</v>
          </cell>
          <cell r="E227" t="str">
            <v>Surabaya</v>
          </cell>
          <cell r="F227" t="str">
            <v>031-60224863</v>
          </cell>
          <cell r="G227" t="str">
            <v>3578041504860010</v>
          </cell>
          <cell r="H227" t="str">
            <v>085790284400</v>
          </cell>
          <cell r="I227">
            <v>44933</v>
          </cell>
          <cell r="J227" t="e">
            <v>#VALUE!</v>
          </cell>
          <cell r="K227"/>
          <cell r="L227" t="str">
            <v>Islam</v>
          </cell>
          <cell r="M227" t="str">
            <v>Sidoarjo</v>
          </cell>
          <cell r="N227" t="str">
            <v>Lab., QC., &amp; QA</v>
          </cell>
          <cell r="O227" t="str">
            <v>Analisa Fisika &amp; Analisa Packing Instant</v>
          </cell>
          <cell r="P227" t="str">
            <v>Analis</v>
          </cell>
          <cell r="Q227" t="str">
            <v>B1</v>
          </cell>
          <cell r="R227" t="str">
            <v>Grup Shift</v>
          </cell>
          <cell r="S227" t="str">
            <v>Aktif</v>
          </cell>
          <cell r="T227"/>
          <cell r="U227" t="str">
            <v>AP240526</v>
          </cell>
          <cell r="V227" t="str">
            <v>IG_PROD</v>
          </cell>
          <cell r="W227">
            <v>40</v>
          </cell>
          <cell r="X227">
            <v>17</v>
          </cell>
          <cell r="Y227" t="str">
            <v>K/2</v>
          </cell>
          <cell r="Z227">
            <v>3</v>
          </cell>
          <cell r="AA227" t="str">
            <v>Ya</v>
          </cell>
          <cell r="AB227" t="str">
            <v>Ya</v>
          </cell>
          <cell r="AC227" t="str">
            <v>Ya</v>
          </cell>
        </row>
        <row r="228">
          <cell r="B228" t="str">
            <v>30660</v>
          </cell>
          <cell r="C228" t="str">
            <v>Lia Kurnia Imelda</v>
          </cell>
          <cell r="D228" t="str">
            <v>Dusun Sidomukti RT.09 RW.02 Kraton - Krian</v>
          </cell>
          <cell r="E228" t="str">
            <v>Sidoarjo</v>
          </cell>
          <cell r="F228"/>
          <cell r="G228" t="str">
            <v>3515116409870006</v>
          </cell>
          <cell r="H228" t="str">
            <v>082132707780</v>
          </cell>
          <cell r="I228">
            <v>44933</v>
          </cell>
          <cell r="J228" t="e">
            <v>#VALUE!</v>
          </cell>
          <cell r="K228"/>
          <cell r="L228" t="str">
            <v>Islam</v>
          </cell>
          <cell r="M228" t="str">
            <v>Sidoarjo</v>
          </cell>
          <cell r="N228" t="str">
            <v>Lab., QC., &amp; QA</v>
          </cell>
          <cell r="O228" t="str">
            <v>Analisa Kimia</v>
          </cell>
          <cell r="P228" t="str">
            <v>Analis</v>
          </cell>
          <cell r="Q228" t="str">
            <v>B1</v>
          </cell>
          <cell r="R228" t="str">
            <v>Shift</v>
          </cell>
          <cell r="S228" t="str">
            <v>Aktif</v>
          </cell>
          <cell r="T228" t="str">
            <v>NS1</v>
          </cell>
          <cell r="U228"/>
          <cell r="V228" t="str">
            <v>IG_PROD</v>
          </cell>
          <cell r="W228">
            <v>38</v>
          </cell>
          <cell r="X228">
            <v>16</v>
          </cell>
          <cell r="Y228" t="str">
            <v>T/0</v>
          </cell>
          <cell r="Z228">
            <v>3</v>
          </cell>
          <cell r="AA228" t="str">
            <v>Ya</v>
          </cell>
          <cell r="AB228" t="str">
            <v>Ya</v>
          </cell>
          <cell r="AC228" t="str">
            <v>Ya</v>
          </cell>
        </row>
        <row r="229">
          <cell r="B229" t="str">
            <v>30670</v>
          </cell>
          <cell r="C229" t="str">
            <v>Yogi Kristanto</v>
          </cell>
          <cell r="D229" t="str">
            <v>Perum The Queen Graha Blok D No. 6A Rt.02 Rw.04 Simogirang - Prambon</v>
          </cell>
          <cell r="E229" t="str">
            <v>Sidoarjo</v>
          </cell>
          <cell r="F229" t="str">
            <v>0351 - 473653</v>
          </cell>
          <cell r="G229" t="str">
            <v>3577032404890001</v>
          </cell>
          <cell r="H229" t="str">
            <v>085755462409</v>
          </cell>
          <cell r="I229">
            <v>44933</v>
          </cell>
          <cell r="J229" t="e">
            <v>#VALUE!</v>
          </cell>
          <cell r="K229"/>
          <cell r="L229" t="str">
            <v>Islam</v>
          </cell>
          <cell r="M229" t="str">
            <v>Sidoarjo</v>
          </cell>
          <cell r="N229" t="str">
            <v>Lab., QC., &amp; QA</v>
          </cell>
          <cell r="O229" t="str">
            <v>Analisa Kimia</v>
          </cell>
          <cell r="P229" t="str">
            <v>Analis</v>
          </cell>
          <cell r="Q229" t="str">
            <v>B1</v>
          </cell>
          <cell r="R229" t="str">
            <v>Shift</v>
          </cell>
          <cell r="S229" t="str">
            <v>Aktif</v>
          </cell>
          <cell r="T229" t="str">
            <v>NS1</v>
          </cell>
          <cell r="U229"/>
          <cell r="V229" t="str">
            <v>IG_PROD</v>
          </cell>
          <cell r="W229">
            <v>37</v>
          </cell>
          <cell r="X229">
            <v>15</v>
          </cell>
          <cell r="Y229" t="str">
            <v>K/2</v>
          </cell>
          <cell r="Z229">
            <v>3</v>
          </cell>
          <cell r="AA229" t="str">
            <v>Ya</v>
          </cell>
          <cell r="AB229" t="str">
            <v>Ya</v>
          </cell>
          <cell r="AC229" t="str">
            <v>Ya</v>
          </cell>
        </row>
        <row r="230">
          <cell r="B230" t="str">
            <v>30673</v>
          </cell>
          <cell r="C230" t="str">
            <v>Mohamad Erwin Saputro</v>
          </cell>
          <cell r="D230" t="str">
            <v>Seketi rt 01 rw 03</v>
          </cell>
          <cell r="E230" t="str">
            <v>Sidoarjo</v>
          </cell>
          <cell r="F230"/>
          <cell r="G230" t="str">
            <v>3520060505890003</v>
          </cell>
          <cell r="H230" t="str">
            <v>085730614471, 081230116022</v>
          </cell>
          <cell r="I230">
            <v>44933</v>
          </cell>
          <cell r="J230">
            <v>32633</v>
          </cell>
          <cell r="K230"/>
          <cell r="L230" t="str">
            <v>Islam</v>
          </cell>
          <cell r="M230" t="str">
            <v>Sidoarjo</v>
          </cell>
          <cell r="N230" t="str">
            <v>Lab., QC., &amp; QA</v>
          </cell>
          <cell r="O230" t="str">
            <v>Analisa Organoleptik</v>
          </cell>
          <cell r="P230" t="str">
            <v>Analis</v>
          </cell>
          <cell r="Q230" t="str">
            <v>A4</v>
          </cell>
          <cell r="R230" t="str">
            <v>Shift</v>
          </cell>
          <cell r="S230" t="str">
            <v>Aktif</v>
          </cell>
          <cell r="T230" t="str">
            <v>SHIFT2</v>
          </cell>
          <cell r="U230"/>
          <cell r="V230" t="str">
            <v>IG_PROD</v>
          </cell>
          <cell r="W230">
            <v>37</v>
          </cell>
          <cell r="X230">
            <v>14</v>
          </cell>
          <cell r="Y230" t="str">
            <v>T/1</v>
          </cell>
          <cell r="Z230">
            <v>3</v>
          </cell>
          <cell r="AA230" t="str">
            <v>Ya</v>
          </cell>
          <cell r="AB230" t="str">
            <v>Ya</v>
          </cell>
          <cell r="AC230" t="str">
            <v>Ya</v>
          </cell>
        </row>
        <row r="231">
          <cell r="B231" t="str">
            <v>30747</v>
          </cell>
          <cell r="C231" t="str">
            <v>Ratih Dhikapramadi Putri, ST</v>
          </cell>
          <cell r="D231" t="str">
            <v>Taman Indah V/7 RT.03 RW.07 Sepanjang  Taman</v>
          </cell>
          <cell r="E231" t="str">
            <v>Sidoarjo</v>
          </cell>
          <cell r="F231"/>
          <cell r="G231" t="str">
            <v>3515136003870004</v>
          </cell>
          <cell r="H231" t="str">
            <v>085733282628, 081803086468, 08813886000</v>
          </cell>
          <cell r="I231">
            <v>44933</v>
          </cell>
          <cell r="J231" t="e">
            <v>#VALUE!</v>
          </cell>
          <cell r="K231"/>
          <cell r="L231" t="str">
            <v>Kristen Protestan</v>
          </cell>
          <cell r="M231" t="str">
            <v>Sidoarjo</v>
          </cell>
          <cell r="N231" t="str">
            <v>Lab., QC., &amp; QA</v>
          </cell>
          <cell r="O231" t="str">
            <v>Laborat. Q.C &amp; Q.A</v>
          </cell>
          <cell r="P231" t="str">
            <v>Staf Equel To Kabag</v>
          </cell>
          <cell r="Q231" t="str">
            <v>III</v>
          </cell>
          <cell r="R231" t="str">
            <v>Shift</v>
          </cell>
          <cell r="S231" t="str">
            <v>Aktif</v>
          </cell>
          <cell r="T231" t="str">
            <v>NS1</v>
          </cell>
          <cell r="U231"/>
          <cell r="V231" t="str">
            <v>IG_PROD</v>
          </cell>
          <cell r="W231">
            <v>39</v>
          </cell>
          <cell r="X231">
            <v>12</v>
          </cell>
          <cell r="Y231" t="str">
            <v>T/0</v>
          </cell>
          <cell r="Z231">
            <v>3</v>
          </cell>
          <cell r="AA231" t="str">
            <v>Ya</v>
          </cell>
          <cell r="AB231" t="str">
            <v>Ya</v>
          </cell>
          <cell r="AC231" t="str">
            <v>Ya</v>
          </cell>
        </row>
        <row r="232">
          <cell r="B232" t="str">
            <v>30766</v>
          </cell>
          <cell r="C232" t="str">
            <v>Agung Wicaksono</v>
          </cell>
          <cell r="D232" t="str">
            <v>Perum Bumi Papan Selaras Blok CB-07 Tanggul Wonoayu</v>
          </cell>
          <cell r="E232" t="str">
            <v>Sidoarjo</v>
          </cell>
          <cell r="F232"/>
          <cell r="G232" t="str">
            <v>3515081509960002</v>
          </cell>
          <cell r="H232" t="str">
            <v>082141875098</v>
          </cell>
          <cell r="I232">
            <v>44933</v>
          </cell>
          <cell r="J232" t="e">
            <v>#VALUE!</v>
          </cell>
          <cell r="K232"/>
          <cell r="L232" t="str">
            <v>Islam</v>
          </cell>
          <cell r="M232" t="str">
            <v>Sidoarjo</v>
          </cell>
          <cell r="N232" t="str">
            <v>Lab., QC., &amp; QA</v>
          </cell>
          <cell r="O232" t="str">
            <v>Analisa Mikrobiologi</v>
          </cell>
          <cell r="P232" t="str">
            <v>Analis</v>
          </cell>
          <cell r="Q232" t="str">
            <v>B1</v>
          </cell>
          <cell r="R232" t="str">
            <v>Shift</v>
          </cell>
          <cell r="S232" t="str">
            <v>Aktif</v>
          </cell>
          <cell r="T232" t="str">
            <v>NS1</v>
          </cell>
          <cell r="U232"/>
          <cell r="V232" t="str">
            <v>IG_PROD</v>
          </cell>
          <cell r="W232">
            <v>29</v>
          </cell>
          <cell r="X232">
            <v>8</v>
          </cell>
          <cell r="Y232" t="str">
            <v>T/0</v>
          </cell>
          <cell r="Z232">
            <v>3</v>
          </cell>
          <cell r="AA232" t="str">
            <v>Ya</v>
          </cell>
          <cell r="AB232" t="str">
            <v>Ya</v>
          </cell>
          <cell r="AC232" t="str">
            <v>Ya</v>
          </cell>
        </row>
        <row r="233">
          <cell r="B233" t="str">
            <v>30767</v>
          </cell>
          <cell r="C233" t="str">
            <v>Vania Juliana</v>
          </cell>
          <cell r="D233" t="str">
            <v>Jl. Tenggilis permai A-15 tenggilis mejoyo</v>
          </cell>
          <cell r="E233" t="str">
            <v>Surabaya</v>
          </cell>
          <cell r="F233"/>
          <cell r="G233" t="str">
            <v>6472065207960001</v>
          </cell>
          <cell r="H233" t="str">
            <v>082230727363</v>
          </cell>
          <cell r="I233">
            <v>44933</v>
          </cell>
          <cell r="J233">
            <v>35406</v>
          </cell>
          <cell r="K233"/>
          <cell r="L233" t="str">
            <v>Kristen Katolik</v>
          </cell>
          <cell r="M233" t="str">
            <v>Sidoarjo</v>
          </cell>
          <cell r="N233" t="str">
            <v>Lab., QC., &amp; QA</v>
          </cell>
          <cell r="O233" t="str">
            <v>Laborat. Q.C &amp; Q.A</v>
          </cell>
          <cell r="P233" t="str">
            <v>Staf Equel To Kabag</v>
          </cell>
          <cell r="Q233" t="str">
            <v>III</v>
          </cell>
          <cell r="R233" t="str">
            <v>Shift</v>
          </cell>
          <cell r="S233" t="str">
            <v>Aktif</v>
          </cell>
          <cell r="T233" t="str">
            <v>NS1</v>
          </cell>
          <cell r="U233"/>
          <cell r="V233" t="str">
            <v>IG_PROD</v>
          </cell>
          <cell r="W233">
            <v>30</v>
          </cell>
          <cell r="X233">
            <v>8</v>
          </cell>
          <cell r="Y233" t="str">
            <v>T/0</v>
          </cell>
          <cell r="Z233">
            <v>3</v>
          </cell>
          <cell r="AA233" t="str">
            <v>Ya</v>
          </cell>
          <cell r="AB233" t="str">
            <v>Ya</v>
          </cell>
          <cell r="AC233" t="str">
            <v>Ya</v>
          </cell>
        </row>
        <row r="234">
          <cell r="B234" t="str">
            <v>30779</v>
          </cell>
          <cell r="C234" t="str">
            <v>Rizky Rendhi Wahyuahadi</v>
          </cell>
          <cell r="D234" t="str">
            <v>Dsn. Waungrejo RT. 02 RW. 07 Ds. Windurejo - Kutorejo</v>
          </cell>
          <cell r="E234" t="str">
            <v>Mojokerto</v>
          </cell>
          <cell r="F234"/>
          <cell r="G234" t="str">
            <v>3516072106920003</v>
          </cell>
          <cell r="H234" t="str">
            <v>082264855161</v>
          </cell>
          <cell r="I234">
            <v>44933</v>
          </cell>
          <cell r="J234" t="e">
            <v>#VALUE!</v>
          </cell>
          <cell r="K234"/>
          <cell r="L234" t="str">
            <v>Islam</v>
          </cell>
          <cell r="M234" t="str">
            <v>Sidoarjo</v>
          </cell>
          <cell r="N234" t="str">
            <v>Lab., QC., &amp; QA</v>
          </cell>
          <cell r="O234" t="str">
            <v>Analisa Incoming Material</v>
          </cell>
          <cell r="P234" t="str">
            <v>Analis</v>
          </cell>
          <cell r="Q234" t="str">
            <v>B1</v>
          </cell>
          <cell r="R234" t="str">
            <v>Shift</v>
          </cell>
          <cell r="S234" t="str">
            <v>Aktif</v>
          </cell>
          <cell r="T234" t="str">
            <v>NS1</v>
          </cell>
          <cell r="U234"/>
          <cell r="V234" t="str">
            <v>IG_PROD</v>
          </cell>
          <cell r="W234">
            <v>34</v>
          </cell>
          <cell r="X234">
            <v>7</v>
          </cell>
          <cell r="Y234" t="str">
            <v>K/1</v>
          </cell>
          <cell r="Z234">
            <v>3</v>
          </cell>
          <cell r="AA234" t="str">
            <v>Ya</v>
          </cell>
          <cell r="AB234" t="str">
            <v>Ya</v>
          </cell>
          <cell r="AC234" t="str">
            <v>Ya</v>
          </cell>
        </row>
        <row r="235">
          <cell r="B235" t="str">
            <v>30780</v>
          </cell>
          <cell r="C235" t="str">
            <v>Didi Sangkar</v>
          </cell>
          <cell r="D235" t="str">
            <v>Sidorame RT.10 RW.03 Sidorejo Krian</v>
          </cell>
          <cell r="E235" t="str">
            <v>Sidoarjo</v>
          </cell>
          <cell r="F235"/>
          <cell r="G235" t="str">
            <v>3515110504010003</v>
          </cell>
          <cell r="H235" t="str">
            <v>089531086827</v>
          </cell>
          <cell r="I235">
            <v>44933</v>
          </cell>
          <cell r="J235">
            <v>37015</v>
          </cell>
          <cell r="K235"/>
          <cell r="L235" t="str">
            <v>Islam</v>
          </cell>
          <cell r="M235" t="str">
            <v>Sidoarjo</v>
          </cell>
          <cell r="N235" t="str">
            <v>Lab., QC., &amp; QA</v>
          </cell>
          <cell r="O235" t="str">
            <v>Analisa Kimia</v>
          </cell>
          <cell r="P235" t="str">
            <v>Analis</v>
          </cell>
          <cell r="Q235" t="str">
            <v>B1</v>
          </cell>
          <cell r="R235" t="str">
            <v>Grup Shift</v>
          </cell>
          <cell r="S235" t="str">
            <v>Aktif</v>
          </cell>
          <cell r="T235"/>
          <cell r="U235" t="str">
            <v>JP240526</v>
          </cell>
          <cell r="V235" t="str">
            <v>IG_PROD</v>
          </cell>
          <cell r="W235">
            <v>25</v>
          </cell>
          <cell r="X235">
            <v>6</v>
          </cell>
          <cell r="Y235" t="str">
            <v>T/0</v>
          </cell>
          <cell r="Z235">
            <v>3</v>
          </cell>
          <cell r="AA235" t="str">
            <v>Ya</v>
          </cell>
          <cell r="AB235" t="str">
            <v>Ya</v>
          </cell>
          <cell r="AC235" t="str">
            <v>Ya</v>
          </cell>
        </row>
        <row r="236">
          <cell r="B236" t="str">
            <v>30834</v>
          </cell>
          <cell r="C236" t="str">
            <v>Maria Rosari Dwi Utami</v>
          </cell>
          <cell r="D236" t="str">
            <v>Rungkut Mejoyo Selatan X no 28 R4</v>
          </cell>
          <cell r="E236" t="str">
            <v>Surabaya</v>
          </cell>
          <cell r="F236"/>
          <cell r="G236" t="str">
            <v>3515086903950002</v>
          </cell>
          <cell r="H236" t="str">
            <v>085157707487</v>
          </cell>
          <cell r="I236">
            <v>44933</v>
          </cell>
          <cell r="J236" t="e">
            <v>#VALUE!</v>
          </cell>
          <cell r="K236"/>
          <cell r="L236" t="str">
            <v>Kristen Katolik</v>
          </cell>
          <cell r="M236" t="str">
            <v>Sidoarjo</v>
          </cell>
          <cell r="N236" t="str">
            <v>Lab., QC., &amp; QA</v>
          </cell>
          <cell r="O236" t="str">
            <v>Laborat. Q.C &amp; Q.A</v>
          </cell>
          <cell r="P236" t="str">
            <v>Staf Equel To Kabag</v>
          </cell>
          <cell r="Q236" t="str">
            <v>III</v>
          </cell>
          <cell r="R236" t="str">
            <v>Shift</v>
          </cell>
          <cell r="S236" t="str">
            <v>Aktif</v>
          </cell>
          <cell r="T236" t="str">
            <v>NS1</v>
          </cell>
          <cell r="U236"/>
          <cell r="V236" t="str">
            <v>IG_PROD</v>
          </cell>
          <cell r="W236">
            <v>31</v>
          </cell>
          <cell r="X236">
            <v>6</v>
          </cell>
          <cell r="Y236" t="str">
            <v>T/0</v>
          </cell>
          <cell r="Z236">
            <v>3</v>
          </cell>
          <cell r="AA236" t="str">
            <v>Ya</v>
          </cell>
          <cell r="AB236" t="str">
            <v>Ya</v>
          </cell>
          <cell r="AC236" t="str">
            <v>Ya</v>
          </cell>
        </row>
        <row r="237">
          <cell r="B237" t="str">
            <v>30840</v>
          </cell>
          <cell r="C237" t="str">
            <v>Aminulloh Usman Purba</v>
          </cell>
          <cell r="D237" t="str">
            <v>Pakis Wetan 5/34 Rt.10 Rw.03 Pakis, sawahan</v>
          </cell>
          <cell r="E237" t="str">
            <v>Surabaya</v>
          </cell>
          <cell r="F237"/>
          <cell r="G237" t="str">
            <v>3578252304980003</v>
          </cell>
          <cell r="H237" t="str">
            <v>08998825117, 0881026665102</v>
          </cell>
          <cell r="I237">
            <v>44933</v>
          </cell>
          <cell r="J237" t="e">
            <v>#VALUE!</v>
          </cell>
          <cell r="K237"/>
          <cell r="L237" t="str">
            <v>Islam</v>
          </cell>
          <cell r="M237" t="str">
            <v>Sidoarjo</v>
          </cell>
          <cell r="N237" t="str">
            <v>Lab., QC., &amp; QA</v>
          </cell>
          <cell r="O237" t="str">
            <v>Analisa Q.A</v>
          </cell>
          <cell r="P237" t="str">
            <v>Analis</v>
          </cell>
          <cell r="Q237" t="str">
            <v>A4</v>
          </cell>
          <cell r="R237" t="str">
            <v>Grup Shift</v>
          </cell>
          <cell r="S237" t="str">
            <v>Aktif</v>
          </cell>
          <cell r="T237"/>
          <cell r="U237" t="str">
            <v>JP240526</v>
          </cell>
          <cell r="V237" t="str">
            <v>IG_PROD</v>
          </cell>
          <cell r="W237">
            <v>28</v>
          </cell>
          <cell r="X237">
            <v>6</v>
          </cell>
          <cell r="Y237" t="str">
            <v>K/1</v>
          </cell>
          <cell r="Z237">
            <v>3</v>
          </cell>
          <cell r="AA237" t="str">
            <v>Ya</v>
          </cell>
          <cell r="AB237" t="str">
            <v>Ya</v>
          </cell>
          <cell r="AC237" t="str">
            <v>Ya</v>
          </cell>
        </row>
        <row r="238">
          <cell r="B238" t="str">
            <v>30841</v>
          </cell>
          <cell r="C238" t="str">
            <v>Ari Rahmadi</v>
          </cell>
          <cell r="D238" t="str">
            <v>Jl. Wiyung Indah V Blok F-No. 6 RT.02 RW.07 Wiyung</v>
          </cell>
          <cell r="E238" t="str">
            <v>Surabaya</v>
          </cell>
          <cell r="F238"/>
          <cell r="G238" t="str">
            <v>3578202401950003</v>
          </cell>
          <cell r="H238" t="str">
            <v>0895615866548</v>
          </cell>
          <cell r="I238">
            <v>44933</v>
          </cell>
          <cell r="J238" t="e">
            <v>#VALUE!</v>
          </cell>
          <cell r="K238"/>
          <cell r="L238" t="str">
            <v>Islam</v>
          </cell>
          <cell r="M238" t="str">
            <v>Sidoarjo</v>
          </cell>
          <cell r="N238" t="str">
            <v>Lab., QC., &amp; QA</v>
          </cell>
          <cell r="O238" t="str">
            <v>Analisa Fisika &amp; Analisa Packing Instant</v>
          </cell>
          <cell r="P238" t="str">
            <v>Analis</v>
          </cell>
          <cell r="Q238" t="str">
            <v>B1</v>
          </cell>
          <cell r="R238" t="str">
            <v>Shift</v>
          </cell>
          <cell r="S238" t="str">
            <v>Aktif</v>
          </cell>
          <cell r="T238" t="str">
            <v>NS1</v>
          </cell>
          <cell r="U238"/>
          <cell r="V238" t="str">
            <v>IG_PROD</v>
          </cell>
          <cell r="W238">
            <v>31</v>
          </cell>
          <cell r="X238">
            <v>6</v>
          </cell>
          <cell r="Y238" t="str">
            <v>T/0</v>
          </cell>
          <cell r="Z238">
            <v>3</v>
          </cell>
          <cell r="AA238" t="str">
            <v>Ya</v>
          </cell>
          <cell r="AB238" t="str">
            <v>Ya</v>
          </cell>
          <cell r="AC238" t="str">
            <v>Ya</v>
          </cell>
        </row>
        <row r="239">
          <cell r="B239" t="str">
            <v>30851</v>
          </cell>
          <cell r="C239" t="str">
            <v>Eunike Kristina</v>
          </cell>
          <cell r="D239" t="str">
            <v>Gg Melati, Dsn. Klutuk RT 04/RW 01, Kramat Jegu, Taman</v>
          </cell>
          <cell r="E239" t="str">
            <v>Sidoarjo</v>
          </cell>
          <cell r="F239"/>
          <cell r="G239" t="str">
            <v>3515137107970001</v>
          </cell>
          <cell r="H239" t="str">
            <v>081333379433</v>
          </cell>
          <cell r="I239">
            <v>44569</v>
          </cell>
          <cell r="J239" t="e">
            <v>#VALUE!</v>
          </cell>
          <cell r="K239"/>
          <cell r="L239" t="str">
            <v>Kristen Protestan</v>
          </cell>
          <cell r="M239" t="str">
            <v>Sidoarjo</v>
          </cell>
          <cell r="N239" t="str">
            <v>Lab., QC., &amp; QA</v>
          </cell>
          <cell r="O239" t="str">
            <v>Laborat. Q.C &amp; Q.A</v>
          </cell>
          <cell r="P239" t="str">
            <v>Staf Equel To Kabag</v>
          </cell>
          <cell r="Q239" t="str">
            <v>III</v>
          </cell>
          <cell r="R239" t="str">
            <v>Shift</v>
          </cell>
          <cell r="S239" t="str">
            <v>Aktif</v>
          </cell>
          <cell r="T239" t="str">
            <v>NS1</v>
          </cell>
          <cell r="U239"/>
          <cell r="V239" t="str">
            <v>IG_PROD</v>
          </cell>
          <cell r="W239">
            <v>28</v>
          </cell>
          <cell r="X239">
            <v>3</v>
          </cell>
          <cell r="Y239" t="str">
            <v>T/0</v>
          </cell>
          <cell r="Z239">
            <v>3</v>
          </cell>
          <cell r="AA239" t="str">
            <v>Ya</v>
          </cell>
          <cell r="AB239" t="str">
            <v>Ya</v>
          </cell>
          <cell r="AC239" t="str">
            <v>Ya</v>
          </cell>
        </row>
        <row r="240">
          <cell r="B240" t="str">
            <v>30887</v>
          </cell>
          <cell r="C240" t="str">
            <v>William Thamrin</v>
          </cell>
          <cell r="D240" t="str">
            <v>JL. Kupang Indah 20/3 RT.06 RW.05 Dukuh Kupang - Dukuh Pakis</v>
          </cell>
          <cell r="E240" t="str">
            <v>Surabaya</v>
          </cell>
          <cell r="F240"/>
          <cell r="G240" t="str">
            <v>3578212710970002</v>
          </cell>
          <cell r="H240" t="str">
            <v>0895405044088</v>
          </cell>
          <cell r="I240">
            <v>44933</v>
          </cell>
          <cell r="J240" t="e">
            <v>#VALUE!</v>
          </cell>
          <cell r="K240"/>
          <cell r="L240" t="str">
            <v>Kristen Protestan</v>
          </cell>
          <cell r="M240" t="str">
            <v>Sidoarjo</v>
          </cell>
          <cell r="N240" t="str">
            <v>Lab., QC., &amp; QA</v>
          </cell>
          <cell r="O240" t="str">
            <v>Lab.,Q.C</v>
          </cell>
          <cell r="P240" t="str">
            <v>Supervisor</v>
          </cell>
          <cell r="Q240" t="str">
            <v>D3</v>
          </cell>
          <cell r="R240" t="str">
            <v>Shift</v>
          </cell>
          <cell r="S240" t="str">
            <v>Aktif</v>
          </cell>
          <cell r="T240" t="str">
            <v>NS1</v>
          </cell>
          <cell r="U240"/>
          <cell r="V240" t="str">
            <v>IG_PROD</v>
          </cell>
          <cell r="W240">
            <v>28</v>
          </cell>
          <cell r="X240">
            <v>3</v>
          </cell>
          <cell r="Y240" t="str">
            <v>T/0</v>
          </cell>
          <cell r="Z240">
            <v>3</v>
          </cell>
          <cell r="AA240" t="str">
            <v>Ya</v>
          </cell>
          <cell r="AB240" t="str">
            <v>Ya</v>
          </cell>
          <cell r="AC240" t="str">
            <v>Ya</v>
          </cell>
        </row>
        <row r="241">
          <cell r="B241" t="str">
            <v>30912</v>
          </cell>
          <cell r="C241" t="str">
            <v>Stevi Angela</v>
          </cell>
          <cell r="D241" t="str">
            <v>Perumahan Jade Hamlet, Ivory 3 Blok B-11, Menganti</v>
          </cell>
          <cell r="E241" t="str">
            <v>Gresik</v>
          </cell>
          <cell r="F241"/>
          <cell r="G241" t="str">
            <v>3317145908940005</v>
          </cell>
          <cell r="H241" t="str">
            <v>085238414990</v>
          </cell>
          <cell r="I241">
            <v>45544</v>
          </cell>
          <cell r="J241" t="e">
            <v>#VALUE!</v>
          </cell>
          <cell r="K241"/>
          <cell r="L241" t="str">
            <v>Kristen Protestan</v>
          </cell>
          <cell r="M241" t="str">
            <v>Sidoarjo</v>
          </cell>
          <cell r="N241" t="str">
            <v>Lab., QC., &amp; QA</v>
          </cell>
          <cell r="O241" t="str">
            <v>Laborat. Q.C &amp; Q.A</v>
          </cell>
          <cell r="P241" t="str">
            <v>Staf Equel To Kabag</v>
          </cell>
          <cell r="Q241" t="str">
            <v>III</v>
          </cell>
          <cell r="R241" t="str">
            <v>Shift</v>
          </cell>
          <cell r="S241" t="str">
            <v>Aktif</v>
          </cell>
          <cell r="T241" t="str">
            <v>NS1</v>
          </cell>
          <cell r="U241"/>
          <cell r="V241" t="str">
            <v>IG_PROD</v>
          </cell>
          <cell r="W241">
            <v>31</v>
          </cell>
          <cell r="X241">
            <v>1</v>
          </cell>
          <cell r="Y241" t="str">
            <v>T/0</v>
          </cell>
          <cell r="Z241">
            <v>1</v>
          </cell>
          <cell r="AA241" t="str">
            <v>Tidak</v>
          </cell>
          <cell r="AB241" t="str">
            <v>Tidak</v>
          </cell>
          <cell r="AC241" t="str">
            <v>Tidak</v>
          </cell>
        </row>
        <row r="242">
          <cell r="B242" t="str">
            <v>30922</v>
          </cell>
          <cell r="C242" t="str">
            <v>Camelia Balqis Rania</v>
          </cell>
          <cell r="D242" t="str">
            <v>Raya Tambaklangon No.54 Rt.01 Rw.05 Tambak Sarioso, Asem Rowo</v>
          </cell>
          <cell r="E242" t="str">
            <v>Surabaya (60184)</v>
          </cell>
          <cell r="F242"/>
          <cell r="G242" t="str">
            <v>3578286008010001</v>
          </cell>
          <cell r="H242" t="str">
            <v>081332400844</v>
          </cell>
          <cell r="I242">
            <v>45782</v>
          </cell>
          <cell r="J242" t="e">
            <v>#VALUE!</v>
          </cell>
          <cell r="K242"/>
          <cell r="L242" t="str">
            <v>Islam</v>
          </cell>
          <cell r="M242" t="str">
            <v>Sidoarjo</v>
          </cell>
          <cell r="N242" t="str">
            <v>Lab., QC., &amp; QA</v>
          </cell>
          <cell r="O242" t="str">
            <v>Analisa Kimia</v>
          </cell>
          <cell r="P242" t="str">
            <v>Kepala Regu</v>
          </cell>
          <cell r="Q242" t="str">
            <v>B1</v>
          </cell>
          <cell r="R242" t="str">
            <v>Shift</v>
          </cell>
          <cell r="S242" t="str">
            <v>Aktif</v>
          </cell>
          <cell r="T242" t="str">
            <v>NS1</v>
          </cell>
          <cell r="U242"/>
          <cell r="V242" t="str">
            <v>IG_PROD</v>
          </cell>
          <cell r="W242">
            <v>24</v>
          </cell>
          <cell r="X242">
            <v>1</v>
          </cell>
          <cell r="Y242" t="str">
            <v>T/0</v>
          </cell>
          <cell r="Z242">
            <v>1</v>
          </cell>
          <cell r="AA242" t="str">
            <v>Ya</v>
          </cell>
          <cell r="AB242" t="str">
            <v>Ya</v>
          </cell>
          <cell r="AC242" t="str">
            <v>Ya</v>
          </cell>
        </row>
        <row r="243">
          <cell r="B243" t="str">
            <v>30923</v>
          </cell>
          <cell r="C243" t="str">
            <v>Hen Esterina</v>
          </cell>
          <cell r="D243" t="str">
            <v>Kutisari Indah Selatan VI/35 Rt.01 Rw.05 Kutisari, Tenggilis Mejoyo</v>
          </cell>
          <cell r="E243" t="str">
            <v>Surabaya (60291)</v>
          </cell>
          <cell r="F243"/>
          <cell r="G243" t="str">
            <v>3578246012030001</v>
          </cell>
          <cell r="H243" t="str">
            <v>081703886704</v>
          </cell>
          <cell r="I243" t="e">
            <v>#VALUE!</v>
          </cell>
          <cell r="J243" t="e">
            <v>#VALUE!</v>
          </cell>
          <cell r="K243"/>
          <cell r="L243" t="str">
            <v>Budha</v>
          </cell>
          <cell r="M243" t="str">
            <v>Sidoarjo</v>
          </cell>
          <cell r="N243" t="str">
            <v>Lab., QC., &amp; QA</v>
          </cell>
          <cell r="O243" t="str">
            <v>Analisa Kimia</v>
          </cell>
          <cell r="P243" t="str">
            <v>Analis</v>
          </cell>
          <cell r="Q243" t="str">
            <v>B1</v>
          </cell>
          <cell r="R243" t="str">
            <v>Shift</v>
          </cell>
          <cell r="S243" t="str">
            <v>Aktif</v>
          </cell>
          <cell r="T243" t="str">
            <v>NS1</v>
          </cell>
          <cell r="U243"/>
          <cell r="V243" t="str">
            <v>IG_PROD</v>
          </cell>
          <cell r="W243">
            <v>22</v>
          </cell>
          <cell r="X243">
            <v>1</v>
          </cell>
          <cell r="Y243" t="str">
            <v>T/0</v>
          </cell>
          <cell r="Z243">
            <v>1</v>
          </cell>
          <cell r="AA243" t="str">
            <v>Ya</v>
          </cell>
          <cell r="AB243" t="str">
            <v>Ya</v>
          </cell>
          <cell r="AC243" t="str">
            <v>Ya</v>
          </cell>
        </row>
        <row r="244">
          <cell r="B244" t="str">
            <v>30936</v>
          </cell>
          <cell r="C244" t="str">
            <v>Lourensia Jessica Averina Gunawan</v>
          </cell>
          <cell r="D244" t="str">
            <v>Jl. Tenggilis Mejoyo Blok AM No.10 Kali Rungkut, Rungkut, Surabaya (60293)</v>
          </cell>
          <cell r="E244" t="str">
            <v>Surabaya</v>
          </cell>
          <cell r="F244"/>
          <cell r="G244" t="str">
            <v>3576026604030001</v>
          </cell>
          <cell r="H244" t="str">
            <v>087885716604</v>
          </cell>
          <cell r="I244" t="e">
            <v>#VALUE!</v>
          </cell>
          <cell r="J244" t="e">
            <v>#VALUE!</v>
          </cell>
          <cell r="K244"/>
          <cell r="L244" t="str">
            <v>Kristen Protestan</v>
          </cell>
          <cell r="M244" t="str">
            <v>Sidoarjo</v>
          </cell>
          <cell r="N244" t="str">
            <v>Lab., QC., &amp; QA</v>
          </cell>
          <cell r="O244" t="str">
            <v>Laborat. Q.C &amp; Q.A</v>
          </cell>
          <cell r="P244" t="str">
            <v>Analis</v>
          </cell>
          <cell r="Q244" t="str">
            <v>A1</v>
          </cell>
          <cell r="R244" t="str">
            <v>Shift</v>
          </cell>
          <cell r="S244" t="str">
            <v>Aktif</v>
          </cell>
          <cell r="T244" t="str">
            <v>NS1</v>
          </cell>
          <cell r="U244"/>
          <cell r="V244" t="str">
            <v>IG_PROD</v>
          </cell>
          <cell r="W244">
            <v>23</v>
          </cell>
          <cell r="X244">
            <v>0</v>
          </cell>
          <cell r="Y244" t="str">
            <v>T/0</v>
          </cell>
          <cell r="Z244">
            <v>0</v>
          </cell>
          <cell r="AA244" t="str">
            <v>Ya</v>
          </cell>
          <cell r="AB244" t="str">
            <v>Ya</v>
          </cell>
          <cell r="AC244" t="str">
            <v>Ya</v>
          </cell>
        </row>
        <row r="245">
          <cell r="B245" t="str">
            <v>30942</v>
          </cell>
          <cell r="C245" t="str">
            <v>Ihsanul Mukminin</v>
          </cell>
          <cell r="D245" t="str">
            <v>Dusun Krajan Rt.02 Rw.01 Ds. Pulosaren, Kec. Kepil, Kab. Wonosobo (56374)</v>
          </cell>
          <cell r="E245" t="str">
            <v>Wonosobo (Jateng)</v>
          </cell>
          <cell r="F245"/>
          <cell r="G245" t="str">
            <v>3307022807010003</v>
          </cell>
          <cell r="H245" t="str">
            <v>085927350522 (WA) / 085150632573</v>
          </cell>
          <cell r="I245" t="e">
            <v>#VALUE!</v>
          </cell>
          <cell r="J245" t="e">
            <v>#VALUE!</v>
          </cell>
          <cell r="K245"/>
          <cell r="L245" t="str">
            <v>Islam</v>
          </cell>
          <cell r="M245" t="str">
            <v>Sidoarjo</v>
          </cell>
          <cell r="N245" t="str">
            <v>Lab., QC., &amp; QA</v>
          </cell>
          <cell r="O245" t="str">
            <v>Analisa Q.A</v>
          </cell>
          <cell r="P245" t="str">
            <v>Analis</v>
          </cell>
          <cell r="Q245" t="str">
            <v>A1</v>
          </cell>
          <cell r="R245" t="str">
            <v>Grup Shift</v>
          </cell>
          <cell r="S245" t="str">
            <v>Aktif</v>
          </cell>
          <cell r="T245"/>
          <cell r="U245" t="str">
            <v>AP240526</v>
          </cell>
          <cell r="V245" t="str">
            <v>IG_PROD</v>
          </cell>
          <cell r="W245">
            <v>24</v>
          </cell>
          <cell r="X245">
            <v>0</v>
          </cell>
          <cell r="Y245" t="str">
            <v>T/0</v>
          </cell>
          <cell r="Z245">
            <v>0</v>
          </cell>
          <cell r="AA245" t="str">
            <v>Ya</v>
          </cell>
          <cell r="AB245" t="str">
            <v>Ya</v>
          </cell>
          <cell r="AC245" t="str">
            <v>Ya</v>
          </cell>
        </row>
        <row r="246">
          <cell r="B246" t="str">
            <v>30943</v>
          </cell>
          <cell r="C246" t="str">
            <v>Mohamad Tirta Aditya</v>
          </cell>
          <cell r="D246" t="str">
            <v>Hadipolo Rt.07 Rw.05 Hadipolo, Kec. Jekulo, Kab. Kudus (59382)</v>
          </cell>
          <cell r="E246" t="str">
            <v>Kudus (Jateng)</v>
          </cell>
          <cell r="F246"/>
          <cell r="G246" t="str">
            <v>3319021408990003</v>
          </cell>
          <cell r="H246" t="str">
            <v>08812868709</v>
          </cell>
          <cell r="I246">
            <v>46331</v>
          </cell>
          <cell r="J246" t="e">
            <v>#VALUE!</v>
          </cell>
          <cell r="K246"/>
          <cell r="L246" t="str">
            <v>Islam</v>
          </cell>
          <cell r="M246" t="str">
            <v>Sidoarjo</v>
          </cell>
          <cell r="N246" t="str">
            <v>Lab., QC., &amp; QA</v>
          </cell>
          <cell r="O246" t="str">
            <v>Analisa Kimia</v>
          </cell>
          <cell r="P246" t="str">
            <v>Analis</v>
          </cell>
          <cell r="Q246" t="str">
            <v>A1</v>
          </cell>
          <cell r="R246" t="str">
            <v>Shift</v>
          </cell>
          <cell r="S246" t="str">
            <v>Aktif</v>
          </cell>
          <cell r="T246" t="str">
            <v>NS1</v>
          </cell>
          <cell r="U246"/>
          <cell r="V246" t="str">
            <v>IG_PROD</v>
          </cell>
          <cell r="W246">
            <v>26</v>
          </cell>
          <cell r="X246">
            <v>0</v>
          </cell>
          <cell r="Y246" t="str">
            <v>T/0</v>
          </cell>
          <cell r="Z246">
            <v>0</v>
          </cell>
          <cell r="AA246" t="str">
            <v>Ya</v>
          </cell>
          <cell r="AB246" t="str">
            <v>Ya</v>
          </cell>
          <cell r="AC246" t="str">
            <v>Ya</v>
          </cell>
        </row>
        <row r="247">
          <cell r="B247" t="str">
            <v>30948</v>
          </cell>
          <cell r="C247" t="str">
            <v>Dewi Anita Bakara</v>
          </cell>
          <cell r="D247" t="str">
            <v>Apartement Akasa Pure Living Jalan Jombang Astek No.05 Rt.02 Rw.03 Lengkong Gudang Timur - Serpong</v>
          </cell>
          <cell r="E247" t="str">
            <v>Tanggerang Selatan (15310) Banten</v>
          </cell>
          <cell r="F247"/>
          <cell r="G247" t="str">
            <v>3173026906811001</v>
          </cell>
          <cell r="H247" t="str">
            <v>08176996986</v>
          </cell>
          <cell r="I247" t="e">
            <v>#VALUE!</v>
          </cell>
          <cell r="J247" t="e">
            <v>#VALUE!</v>
          </cell>
          <cell r="K247"/>
          <cell r="L247" t="str">
            <v>Kristen Protestan</v>
          </cell>
          <cell r="M247" t="str">
            <v>Sidoarjo</v>
          </cell>
          <cell r="N247" t="str">
            <v>Lab., QC., &amp; QA</v>
          </cell>
          <cell r="O247" t="str">
            <v>Analisa Q.A</v>
          </cell>
          <cell r="P247" t="str">
            <v>Manager</v>
          </cell>
          <cell r="Q247" t="str">
            <v>II</v>
          </cell>
          <cell r="R247" t="str">
            <v>Shift</v>
          </cell>
          <cell r="S247" t="str">
            <v>Aktif</v>
          </cell>
          <cell r="T247" t="str">
            <v>NS1</v>
          </cell>
          <cell r="U247"/>
          <cell r="V247" t="str">
            <v>IG_PROD</v>
          </cell>
          <cell r="W247">
            <v>45</v>
          </cell>
          <cell r="X247">
            <v>0</v>
          </cell>
          <cell r="Y247" t="str">
            <v>T/0</v>
          </cell>
          <cell r="Z247">
            <v>0</v>
          </cell>
          <cell r="AA247" t="str">
            <v>Tidak</v>
          </cell>
          <cell r="AB247" t="str">
            <v>Tidak</v>
          </cell>
          <cell r="AC247" t="str">
            <v>Tidak</v>
          </cell>
        </row>
        <row r="248">
          <cell r="B248" t="str">
            <v>40056</v>
          </cell>
          <cell r="C248" t="str">
            <v>Sugiyono</v>
          </cell>
          <cell r="D248" t="str">
            <v>Sidorogo RT. 04 RW. 06 Trosobo-Taman</v>
          </cell>
          <cell r="E248" t="str">
            <v>Sidoarjo</v>
          </cell>
          <cell r="F248"/>
          <cell r="G248" t="str">
            <v>3515132004730009</v>
          </cell>
          <cell r="H248" t="str">
            <v>083856688862</v>
          </cell>
          <cell r="I248">
            <v>44933</v>
          </cell>
          <cell r="J248" t="e">
            <v>#VALUE!</v>
          </cell>
          <cell r="K248"/>
          <cell r="L248" t="str">
            <v>Islam</v>
          </cell>
          <cell r="M248" t="str">
            <v>Sidoarjo</v>
          </cell>
          <cell r="N248" t="str">
            <v>HRD &amp; GA</v>
          </cell>
          <cell r="O248" t="str">
            <v>Cleaning Service Umum</v>
          </cell>
          <cell r="P248" t="str">
            <v>Pelaksana</v>
          </cell>
          <cell r="Q248" t="str">
            <v>A1</v>
          </cell>
          <cell r="R248" t="str">
            <v>Shift</v>
          </cell>
          <cell r="S248" t="str">
            <v>Aktif</v>
          </cell>
          <cell r="T248" t="str">
            <v>NS1</v>
          </cell>
          <cell r="U248"/>
          <cell r="V248" t="str">
            <v>IG_ GA</v>
          </cell>
          <cell r="W248">
            <v>53</v>
          </cell>
          <cell r="X248">
            <v>33</v>
          </cell>
          <cell r="Y248" t="str">
            <v>K/0</v>
          </cell>
          <cell r="Z248">
            <v>3</v>
          </cell>
          <cell r="AA248" t="str">
            <v>Ya</v>
          </cell>
          <cell r="AB248" t="str">
            <v>Ya</v>
          </cell>
          <cell r="AC248" t="str">
            <v>Ya</v>
          </cell>
        </row>
        <row r="249">
          <cell r="B249" t="str">
            <v>40072</v>
          </cell>
          <cell r="C249" t="str">
            <v>Rini Dwi Setijowati</v>
          </cell>
          <cell r="D249" t="str">
            <v>Griya Wage Asri Blok K-01 Rt.05 Rw.02 Taman</v>
          </cell>
          <cell r="E249" t="str">
            <v>Sidoarjo</v>
          </cell>
          <cell r="F249" t="str">
            <v>031 - 8530801</v>
          </cell>
          <cell r="G249" t="str">
            <v>3578144306670006</v>
          </cell>
          <cell r="H249" t="str">
            <v>08113680606</v>
          </cell>
          <cell r="I249">
            <v>44933</v>
          </cell>
          <cell r="J249">
            <v>24537</v>
          </cell>
          <cell r="K249"/>
          <cell r="L249" t="str">
            <v>Islam</v>
          </cell>
          <cell r="M249" t="str">
            <v>Sidoarjo</v>
          </cell>
          <cell r="N249" t="str">
            <v>HRD &amp; GA</v>
          </cell>
          <cell r="O249" t="str">
            <v>HRD&amp;GA</v>
          </cell>
          <cell r="P249" t="str">
            <v>Sekretaris</v>
          </cell>
          <cell r="Q249" t="str">
            <v>III</v>
          </cell>
          <cell r="R249" t="str">
            <v>Shift</v>
          </cell>
          <cell r="S249" t="str">
            <v>Aktif</v>
          </cell>
          <cell r="T249" t="str">
            <v>NS2</v>
          </cell>
          <cell r="U249"/>
          <cell r="V249" t="str">
            <v>IG_ GA</v>
          </cell>
          <cell r="W249">
            <v>59</v>
          </cell>
          <cell r="X249">
            <v>34</v>
          </cell>
          <cell r="Y249" t="str">
            <v>T/0</v>
          </cell>
          <cell r="Z249">
            <v>3</v>
          </cell>
          <cell r="AA249" t="str">
            <v>Ya</v>
          </cell>
          <cell r="AB249" t="str">
            <v>Ya</v>
          </cell>
          <cell r="AC249" t="str">
            <v>Ya</v>
          </cell>
        </row>
        <row r="250">
          <cell r="B250" t="str">
            <v>40089</v>
          </cell>
          <cell r="C250" t="str">
            <v>Usman Amin</v>
          </cell>
          <cell r="D250" t="str">
            <v>Dsn. Besuk RT.1 RW.1 Kel. Jabaran - Kec.Balongbendo</v>
          </cell>
          <cell r="E250" t="str">
            <v>Sidoarjo</v>
          </cell>
          <cell r="F250"/>
          <cell r="G250" t="str">
            <v>3515121205720003</v>
          </cell>
          <cell r="H250" t="str">
            <v>081554342397</v>
          </cell>
          <cell r="I250">
            <v>44933</v>
          </cell>
          <cell r="J250">
            <v>26638</v>
          </cell>
          <cell r="K250"/>
          <cell r="L250" t="str">
            <v>Islam</v>
          </cell>
          <cell r="M250" t="str">
            <v>Sidoarjo</v>
          </cell>
          <cell r="N250" t="str">
            <v>HRD &amp; GA</v>
          </cell>
          <cell r="O250" t="str">
            <v>Driver</v>
          </cell>
          <cell r="P250" t="str">
            <v>Driver</v>
          </cell>
          <cell r="Q250" t="str">
            <v>A3</v>
          </cell>
          <cell r="R250" t="str">
            <v>Shift</v>
          </cell>
          <cell r="S250" t="str">
            <v>Aktif</v>
          </cell>
          <cell r="T250" t="str">
            <v>NS2</v>
          </cell>
          <cell r="U250"/>
          <cell r="V250" t="str">
            <v>IG_ GA</v>
          </cell>
          <cell r="W250">
            <v>54</v>
          </cell>
          <cell r="X250">
            <v>30</v>
          </cell>
          <cell r="Y250" t="str">
            <v>K/1</v>
          </cell>
          <cell r="Z250">
            <v>3</v>
          </cell>
          <cell r="AA250" t="str">
            <v>Ya</v>
          </cell>
          <cell r="AB250" t="str">
            <v>Ya</v>
          </cell>
          <cell r="AC250" t="str">
            <v>Ya</v>
          </cell>
        </row>
        <row r="251">
          <cell r="B251" t="str">
            <v>40095</v>
          </cell>
          <cell r="C251" t="str">
            <v>Yudi Iswandi</v>
          </cell>
          <cell r="D251" t="str">
            <v>Sidorogo RT.4 RW.6 Kel. Trosobo - Kec. Taman</v>
          </cell>
          <cell r="E251" t="str">
            <v>Sidoarjo</v>
          </cell>
          <cell r="F251"/>
          <cell r="G251" t="str">
            <v>3515132707780004</v>
          </cell>
          <cell r="H251" t="str">
            <v>08113434682</v>
          </cell>
          <cell r="I251">
            <v>44933</v>
          </cell>
          <cell r="J251" t="e">
            <v>#VALUE!</v>
          </cell>
          <cell r="K251"/>
          <cell r="L251" t="str">
            <v>Islam</v>
          </cell>
          <cell r="M251" t="str">
            <v>Sidoarjo</v>
          </cell>
          <cell r="N251" t="str">
            <v>HRD &amp; GA</v>
          </cell>
          <cell r="O251" t="str">
            <v>Driver</v>
          </cell>
          <cell r="P251" t="str">
            <v>Driver</v>
          </cell>
          <cell r="Q251" t="str">
            <v>A3</v>
          </cell>
          <cell r="R251" t="str">
            <v>Shift</v>
          </cell>
          <cell r="S251" t="str">
            <v>Aktif</v>
          </cell>
          <cell r="T251" t="str">
            <v>NS2</v>
          </cell>
          <cell r="U251"/>
          <cell r="V251" t="str">
            <v>IG_ GA</v>
          </cell>
          <cell r="W251">
            <v>47</v>
          </cell>
          <cell r="X251">
            <v>30</v>
          </cell>
          <cell r="Y251" t="str">
            <v>K/1</v>
          </cell>
          <cell r="Z251">
            <v>3</v>
          </cell>
          <cell r="AA251" t="str">
            <v>Ya</v>
          </cell>
          <cell r="AB251" t="str">
            <v>Ya</v>
          </cell>
          <cell r="AC251" t="str">
            <v>Ya</v>
          </cell>
        </row>
        <row r="252">
          <cell r="B252" t="str">
            <v>40116</v>
          </cell>
          <cell r="C252" t="str">
            <v>Ismail</v>
          </cell>
          <cell r="D252" t="str">
            <v>Perum Graha Permata Sidorejo Indah Blok : P No. 19 RT. 51 RW. 10 Sidorejo  Krian</v>
          </cell>
          <cell r="E252" t="str">
            <v>Sidoarjo</v>
          </cell>
          <cell r="F252"/>
          <cell r="G252" t="str">
            <v>3517211007690004</v>
          </cell>
          <cell r="H252" t="str">
            <v>085748719284</v>
          </cell>
          <cell r="I252">
            <v>44933</v>
          </cell>
          <cell r="J252">
            <v>25483</v>
          </cell>
          <cell r="K252"/>
          <cell r="L252" t="str">
            <v>Islam</v>
          </cell>
          <cell r="M252" t="str">
            <v>Sidoarjo</v>
          </cell>
          <cell r="N252" t="str">
            <v>HRD &amp; GA</v>
          </cell>
          <cell r="O252" t="str">
            <v>Driver</v>
          </cell>
          <cell r="P252" t="str">
            <v>Driver</v>
          </cell>
          <cell r="Q252" t="str">
            <v>A3</v>
          </cell>
          <cell r="R252" t="str">
            <v>Shift</v>
          </cell>
          <cell r="S252" t="str">
            <v>Aktif</v>
          </cell>
          <cell r="T252" t="str">
            <v>NS0600</v>
          </cell>
          <cell r="U252"/>
          <cell r="V252" t="str">
            <v>IG_ GA</v>
          </cell>
          <cell r="W252">
            <v>57</v>
          </cell>
          <cell r="X252">
            <v>30</v>
          </cell>
          <cell r="Y252" t="str">
            <v>K/1</v>
          </cell>
          <cell r="Z252">
            <v>3</v>
          </cell>
          <cell r="AA252" t="str">
            <v>Ya</v>
          </cell>
          <cell r="AB252" t="str">
            <v>Ya</v>
          </cell>
          <cell r="AC252" t="str">
            <v>Ya</v>
          </cell>
        </row>
        <row r="253">
          <cell r="B253" t="str">
            <v>40124</v>
          </cell>
          <cell r="C253" t="str">
            <v>Supriono</v>
          </cell>
          <cell r="D253" t="str">
            <v>Ds. Temu gang III RT. 02 RW.03 Temu - Prambon</v>
          </cell>
          <cell r="E253" t="str">
            <v>Sidoarjo</v>
          </cell>
          <cell r="F253"/>
          <cell r="G253" t="str">
            <v>3515020507730003</v>
          </cell>
          <cell r="H253" t="str">
            <v>089677004347</v>
          </cell>
          <cell r="I253">
            <v>44933</v>
          </cell>
          <cell r="J253">
            <v>26791</v>
          </cell>
          <cell r="K253"/>
          <cell r="L253" t="str">
            <v>Islam</v>
          </cell>
          <cell r="M253" t="str">
            <v>Sidoarjo</v>
          </cell>
          <cell r="N253" t="str">
            <v>HRD &amp; GA</v>
          </cell>
          <cell r="O253" t="str">
            <v>Driver</v>
          </cell>
          <cell r="P253" t="str">
            <v>Driver</v>
          </cell>
          <cell r="Q253" t="str">
            <v>A3</v>
          </cell>
          <cell r="R253" t="str">
            <v>Shift</v>
          </cell>
          <cell r="S253" t="str">
            <v>Aktif</v>
          </cell>
          <cell r="T253" t="str">
            <v>NS2</v>
          </cell>
          <cell r="U253"/>
          <cell r="V253" t="str">
            <v>IG_ GA</v>
          </cell>
          <cell r="W253">
            <v>53</v>
          </cell>
          <cell r="X253">
            <v>30</v>
          </cell>
          <cell r="Y253" t="str">
            <v>K/1</v>
          </cell>
          <cell r="Z253">
            <v>3</v>
          </cell>
          <cell r="AA253" t="str">
            <v>Ya</v>
          </cell>
          <cell r="AB253" t="str">
            <v>Ya</v>
          </cell>
          <cell r="AC253" t="str">
            <v>Ya</v>
          </cell>
        </row>
        <row r="254">
          <cell r="B254" t="str">
            <v>40129</v>
          </cell>
          <cell r="C254" t="str">
            <v>Arifin</v>
          </cell>
          <cell r="D254" t="str">
            <v>Dsn. Kramat RT.4 RW.4 Kel. Kramat Jegu - Kec. Taman</v>
          </cell>
          <cell r="E254" t="str">
            <v>Sidoarjo</v>
          </cell>
          <cell r="F254"/>
          <cell r="G254" t="str">
            <v>3515131508750002</v>
          </cell>
          <cell r="H254" t="str">
            <v>081249361556</v>
          </cell>
          <cell r="I254">
            <v>44933</v>
          </cell>
          <cell r="J254" t="e">
            <v>#VALUE!</v>
          </cell>
          <cell r="K254"/>
          <cell r="L254" t="str">
            <v>Islam</v>
          </cell>
          <cell r="M254" t="str">
            <v>Sidoarjo</v>
          </cell>
          <cell r="N254" t="str">
            <v>HRD &amp; GA</v>
          </cell>
          <cell r="O254" t="str">
            <v>Driver</v>
          </cell>
          <cell r="P254" t="str">
            <v>Driver</v>
          </cell>
          <cell r="Q254" t="str">
            <v>A3</v>
          </cell>
          <cell r="R254" t="str">
            <v>Shift</v>
          </cell>
          <cell r="S254" t="str">
            <v>Aktif</v>
          </cell>
          <cell r="T254" t="str">
            <v>NS2</v>
          </cell>
          <cell r="U254"/>
          <cell r="V254" t="str">
            <v>IG_ GA</v>
          </cell>
          <cell r="W254">
            <v>50</v>
          </cell>
          <cell r="X254">
            <v>29</v>
          </cell>
          <cell r="Y254" t="str">
            <v>K/0</v>
          </cell>
          <cell r="Z254">
            <v>3</v>
          </cell>
          <cell r="AA254" t="str">
            <v>Ya</v>
          </cell>
          <cell r="AB254" t="str">
            <v>Ya</v>
          </cell>
          <cell r="AC254" t="str">
            <v>Ya</v>
          </cell>
        </row>
        <row r="255">
          <cell r="B255" t="str">
            <v>40138</v>
          </cell>
          <cell r="C255" t="str">
            <v>Kuswanto</v>
          </cell>
          <cell r="D255" t="str">
            <v>Dusun Duran RT.13 RW.6 Kel. Buncitan - Kec. Sedati</v>
          </cell>
          <cell r="E255" t="str">
            <v>Sidoarjo</v>
          </cell>
          <cell r="F255"/>
          <cell r="G255" t="str">
            <v>3515170710770003</v>
          </cell>
          <cell r="H255" t="str">
            <v>0895329364729</v>
          </cell>
          <cell r="I255">
            <v>44933</v>
          </cell>
          <cell r="J255">
            <v>28316</v>
          </cell>
          <cell r="K255"/>
          <cell r="L255" t="str">
            <v>Islam</v>
          </cell>
          <cell r="M255" t="str">
            <v>Sidoarjo</v>
          </cell>
          <cell r="N255" t="str">
            <v>HRD &amp; GA</v>
          </cell>
          <cell r="O255" t="str">
            <v>Keamanan</v>
          </cell>
          <cell r="P255" t="str">
            <v>Kepala Regu</v>
          </cell>
          <cell r="Q255" t="str">
            <v>A4</v>
          </cell>
          <cell r="R255" t="str">
            <v>Grup Shift</v>
          </cell>
          <cell r="S255" t="str">
            <v>Aktif</v>
          </cell>
          <cell r="T255"/>
          <cell r="U255" t="str">
            <v>SATD240526</v>
          </cell>
          <cell r="V255" t="str">
            <v>IG_ GA</v>
          </cell>
          <cell r="W255">
            <v>48</v>
          </cell>
          <cell r="X255">
            <v>29</v>
          </cell>
          <cell r="Y255" t="str">
            <v>K/0</v>
          </cell>
          <cell r="Z255">
            <v>3</v>
          </cell>
          <cell r="AA255" t="str">
            <v>Ya</v>
          </cell>
          <cell r="AB255" t="str">
            <v>Ya</v>
          </cell>
          <cell r="AC255" t="str">
            <v>Ya</v>
          </cell>
        </row>
        <row r="256">
          <cell r="B256" t="str">
            <v>40167</v>
          </cell>
          <cell r="C256" t="str">
            <v>Mohammad Nur Huda</v>
          </cell>
          <cell r="D256" t="str">
            <v>Banjar Pertapan RT.6 RW.5 Kel. Pertapanmaduretno - Kec. Taman</v>
          </cell>
          <cell r="E256" t="str">
            <v>Sidoarjo</v>
          </cell>
          <cell r="F256"/>
          <cell r="G256" t="str">
            <v>3515131506770011</v>
          </cell>
          <cell r="H256" t="str">
            <v>085785807088</v>
          </cell>
          <cell r="I256">
            <v>44933</v>
          </cell>
          <cell r="J256" t="e">
            <v>#VALUE!</v>
          </cell>
          <cell r="K256"/>
          <cell r="L256" t="str">
            <v>Islam</v>
          </cell>
          <cell r="M256" t="str">
            <v>Sidoarjo</v>
          </cell>
          <cell r="N256" t="str">
            <v>HRD &amp; GA</v>
          </cell>
          <cell r="O256" t="str">
            <v>Cleaning Service Umum</v>
          </cell>
          <cell r="P256" t="str">
            <v>Kepala Regu</v>
          </cell>
          <cell r="Q256" t="str">
            <v>A2</v>
          </cell>
          <cell r="R256" t="str">
            <v>Shift</v>
          </cell>
          <cell r="S256" t="str">
            <v>Aktif</v>
          </cell>
          <cell r="T256" t="str">
            <v>NS1</v>
          </cell>
          <cell r="U256"/>
          <cell r="V256" t="str">
            <v>IG_ GA</v>
          </cell>
          <cell r="W256">
            <v>49</v>
          </cell>
          <cell r="X256">
            <v>29</v>
          </cell>
          <cell r="Y256" t="str">
            <v>K/2</v>
          </cell>
          <cell r="Z256">
            <v>3</v>
          </cell>
          <cell r="AA256" t="str">
            <v>Ya</v>
          </cell>
          <cell r="AB256" t="str">
            <v>Ya</v>
          </cell>
          <cell r="AC256" t="str">
            <v>Ya</v>
          </cell>
        </row>
        <row r="257">
          <cell r="B257" t="str">
            <v>40181</v>
          </cell>
          <cell r="C257" t="str">
            <v>Susilowati, SH.</v>
          </cell>
          <cell r="D257" t="str">
            <v>Rungkut Menanggal harapan N-9 Surabaya</v>
          </cell>
          <cell r="E257" t="str">
            <v>Surabaya</v>
          </cell>
          <cell r="F257" t="str">
            <v>031 - 8714345</v>
          </cell>
          <cell r="G257" t="str">
            <v>3578254206700001</v>
          </cell>
          <cell r="H257" t="str">
            <v>081357119005 / 081235622577</v>
          </cell>
          <cell r="I257">
            <v>44933</v>
          </cell>
          <cell r="J257">
            <v>25605</v>
          </cell>
          <cell r="K257"/>
          <cell r="L257" t="str">
            <v>Islam</v>
          </cell>
          <cell r="M257" t="str">
            <v>Sidoarjo</v>
          </cell>
          <cell r="N257" t="str">
            <v>HRD &amp; GA</v>
          </cell>
          <cell r="O257" t="str">
            <v>HRD&amp;GA</v>
          </cell>
          <cell r="P257" t="str">
            <v>Manager</v>
          </cell>
          <cell r="Q257" t="str">
            <v>II</v>
          </cell>
          <cell r="R257" t="str">
            <v>Shift</v>
          </cell>
          <cell r="S257" t="str">
            <v>Aktif</v>
          </cell>
          <cell r="T257" t="str">
            <v>NS2</v>
          </cell>
          <cell r="U257"/>
          <cell r="V257" t="str">
            <v>IG_ GA</v>
          </cell>
          <cell r="W257">
            <v>56</v>
          </cell>
          <cell r="X257">
            <v>29</v>
          </cell>
          <cell r="Y257" t="str">
            <v>T/0</v>
          </cell>
          <cell r="Z257">
            <v>3</v>
          </cell>
          <cell r="AA257" t="str">
            <v>Ya</v>
          </cell>
          <cell r="AB257" t="str">
            <v>Ya</v>
          </cell>
          <cell r="AC257" t="str">
            <v>Ya</v>
          </cell>
        </row>
        <row r="258">
          <cell r="B258" t="str">
            <v>40269</v>
          </cell>
          <cell r="C258" t="str">
            <v>Siung Sumaolan</v>
          </cell>
          <cell r="D258" t="str">
            <v>Dsn. Ponokawan Rt.05 Rw.01 Ponokawan - Krian</v>
          </cell>
          <cell r="E258" t="str">
            <v>Sidoarjo</v>
          </cell>
          <cell r="F258"/>
          <cell r="G258" t="str">
            <v>3516100207770001</v>
          </cell>
          <cell r="H258" t="str">
            <v>085648822542</v>
          </cell>
          <cell r="I258">
            <v>44933</v>
          </cell>
          <cell r="J258">
            <v>28163</v>
          </cell>
          <cell r="K258"/>
          <cell r="L258" t="str">
            <v>Islam</v>
          </cell>
          <cell r="M258" t="str">
            <v>Sidoarjo</v>
          </cell>
          <cell r="N258" t="str">
            <v>HRD &amp; GA</v>
          </cell>
          <cell r="O258" t="str">
            <v>Safety</v>
          </cell>
          <cell r="P258" t="str">
            <v>Safety Inspector</v>
          </cell>
          <cell r="Q258" t="str">
            <v>C3</v>
          </cell>
          <cell r="R258" t="str">
            <v>Shift</v>
          </cell>
          <cell r="S258" t="str">
            <v>Aktif</v>
          </cell>
          <cell r="T258" t="str">
            <v>NS1</v>
          </cell>
          <cell r="U258"/>
          <cell r="V258" t="str">
            <v>IG_ GA</v>
          </cell>
          <cell r="W258">
            <v>49</v>
          </cell>
          <cell r="X258">
            <v>29</v>
          </cell>
          <cell r="Y258" t="str">
            <v>K/2</v>
          </cell>
          <cell r="Z258">
            <v>3</v>
          </cell>
          <cell r="AA258" t="str">
            <v>Ya</v>
          </cell>
          <cell r="AB258" t="str">
            <v>Ya</v>
          </cell>
          <cell r="AC258" t="str">
            <v>Ya</v>
          </cell>
        </row>
        <row r="259">
          <cell r="B259" t="str">
            <v>40282</v>
          </cell>
          <cell r="C259" t="str">
            <v>Mochammad Sonif</v>
          </cell>
          <cell r="D259" t="str">
            <v>Ds.Sidorogo RT.003 RW.006 Trosobo - Taman</v>
          </cell>
          <cell r="E259" t="str">
            <v>Sidoarjo</v>
          </cell>
          <cell r="F259"/>
          <cell r="G259" t="str">
            <v>3515130807750005</v>
          </cell>
          <cell r="H259" t="str">
            <v>0895366700608 / 085334319997</v>
          </cell>
          <cell r="I259">
            <v>44933</v>
          </cell>
          <cell r="J259">
            <v>27613</v>
          </cell>
          <cell r="K259"/>
          <cell r="L259" t="str">
            <v>Islam</v>
          </cell>
          <cell r="M259" t="str">
            <v>Sidoarjo</v>
          </cell>
          <cell r="N259" t="str">
            <v>HRD &amp; GA</v>
          </cell>
          <cell r="O259" t="str">
            <v>Personalia</v>
          </cell>
          <cell r="P259" t="str">
            <v>Staf Equal To Spv</v>
          </cell>
          <cell r="Q259" t="str">
            <v>C4</v>
          </cell>
          <cell r="R259" t="str">
            <v>Shift</v>
          </cell>
          <cell r="S259" t="str">
            <v>Aktif</v>
          </cell>
          <cell r="T259" t="str">
            <v>NS2</v>
          </cell>
          <cell r="U259"/>
          <cell r="V259" t="str">
            <v>IG_ GA</v>
          </cell>
          <cell r="W259">
            <v>51</v>
          </cell>
          <cell r="X259">
            <v>29</v>
          </cell>
          <cell r="Y259" t="str">
            <v>K/1</v>
          </cell>
          <cell r="Z259">
            <v>3</v>
          </cell>
          <cell r="AA259" t="str">
            <v>Ya</v>
          </cell>
          <cell r="AB259" t="str">
            <v>Ya</v>
          </cell>
          <cell r="AC259" t="str">
            <v>Ya</v>
          </cell>
        </row>
        <row r="260">
          <cell r="B260" t="str">
            <v>40287</v>
          </cell>
          <cell r="C260" t="str">
            <v>Sudibyo</v>
          </cell>
          <cell r="D260" t="str">
            <v>Perum Mutiara Citra Apsari  Blok E-18, Ds. Simogirang Kec. Prambon</v>
          </cell>
          <cell r="E260" t="str">
            <v>Sidoarjo</v>
          </cell>
          <cell r="F260"/>
          <cell r="G260" t="str">
            <v>3515122902760002</v>
          </cell>
          <cell r="H260" t="str">
            <v>081239854972</v>
          </cell>
          <cell r="I260">
            <v>44933</v>
          </cell>
          <cell r="J260" t="e">
            <v>#VALUE!</v>
          </cell>
          <cell r="K260"/>
          <cell r="L260" t="str">
            <v>Islam</v>
          </cell>
          <cell r="M260" t="str">
            <v>Sidoarjo</v>
          </cell>
          <cell r="N260" t="str">
            <v>HRD &amp; GA</v>
          </cell>
          <cell r="O260" t="str">
            <v>Safety</v>
          </cell>
          <cell r="P260" t="str">
            <v>Safety Inspector</v>
          </cell>
          <cell r="Q260" t="str">
            <v>C3</v>
          </cell>
          <cell r="R260" t="str">
            <v>Shift</v>
          </cell>
          <cell r="S260" t="str">
            <v>Aktif</v>
          </cell>
          <cell r="T260" t="str">
            <v>NS1</v>
          </cell>
          <cell r="U260"/>
          <cell r="V260" t="str">
            <v>IG_ GA</v>
          </cell>
          <cell r="W260">
            <v>50</v>
          </cell>
          <cell r="X260">
            <v>29</v>
          </cell>
          <cell r="Y260" t="str">
            <v>K/2</v>
          </cell>
          <cell r="Z260">
            <v>3</v>
          </cell>
          <cell r="AA260" t="str">
            <v>Ya</v>
          </cell>
          <cell r="AB260" t="str">
            <v>Ya</v>
          </cell>
          <cell r="AC260" t="str">
            <v>Ya</v>
          </cell>
        </row>
        <row r="261">
          <cell r="B261" t="str">
            <v>40309</v>
          </cell>
          <cell r="C261" t="str">
            <v>Hairul</v>
          </cell>
          <cell r="D261" t="str">
            <v>Terungwetan Rt.05 / Rw..02 Ds. Terungwetan - Krian</v>
          </cell>
          <cell r="E261" t="str">
            <v>Sidoarjo</v>
          </cell>
          <cell r="F261"/>
          <cell r="G261" t="str">
            <v>3515110707770014</v>
          </cell>
          <cell r="H261" t="str">
            <v>081553759366</v>
          </cell>
          <cell r="I261">
            <v>44933</v>
          </cell>
          <cell r="J261">
            <v>28313</v>
          </cell>
          <cell r="K261"/>
          <cell r="L261" t="str">
            <v>Islam</v>
          </cell>
          <cell r="M261" t="str">
            <v>Sidoarjo</v>
          </cell>
          <cell r="N261" t="str">
            <v>HRD &amp; GA</v>
          </cell>
          <cell r="O261" t="str">
            <v>Driver</v>
          </cell>
          <cell r="P261" t="str">
            <v>Driver</v>
          </cell>
          <cell r="Q261" t="str">
            <v>A3</v>
          </cell>
          <cell r="R261" t="str">
            <v>Shift</v>
          </cell>
          <cell r="S261" t="str">
            <v>Aktif</v>
          </cell>
          <cell r="T261" t="str">
            <v>NS2</v>
          </cell>
          <cell r="U261"/>
          <cell r="V261" t="str">
            <v>IG_ GA</v>
          </cell>
          <cell r="W261">
            <v>49</v>
          </cell>
          <cell r="X261">
            <v>29</v>
          </cell>
          <cell r="Y261" t="str">
            <v>K/2</v>
          </cell>
          <cell r="Z261">
            <v>3</v>
          </cell>
          <cell r="AA261" t="str">
            <v>Ya</v>
          </cell>
          <cell r="AB261" t="str">
            <v>Ya</v>
          </cell>
          <cell r="AC261" t="str">
            <v>Ya</v>
          </cell>
        </row>
        <row r="262">
          <cell r="B262" t="str">
            <v>40327</v>
          </cell>
          <cell r="C262" t="str">
            <v>Moh. Ainur Rodik</v>
          </cell>
          <cell r="D262" t="str">
            <v>Karangpoh IV No.23 RT.3 RW.1 Kel. Karangpoh Kec. Tandes</v>
          </cell>
          <cell r="E262" t="str">
            <v>Surabaya</v>
          </cell>
          <cell r="F262" t="str">
            <v>031 - 7346477</v>
          </cell>
          <cell r="G262" t="str">
            <v>3578140803750004</v>
          </cell>
          <cell r="H262" t="str">
            <v>087853380338</v>
          </cell>
          <cell r="I262">
            <v>44933</v>
          </cell>
          <cell r="J262">
            <v>27609</v>
          </cell>
          <cell r="K262"/>
          <cell r="L262" t="str">
            <v>Islam</v>
          </cell>
          <cell r="M262" t="str">
            <v>Sidoarjo</v>
          </cell>
          <cell r="N262" t="str">
            <v>HRD &amp; GA</v>
          </cell>
          <cell r="O262" t="str">
            <v>Driver</v>
          </cell>
          <cell r="P262" t="str">
            <v>Driver</v>
          </cell>
          <cell r="Q262" t="str">
            <v>A3</v>
          </cell>
          <cell r="R262" t="str">
            <v>Shift</v>
          </cell>
          <cell r="S262" t="str">
            <v>Aktif</v>
          </cell>
          <cell r="T262" t="str">
            <v>NS2</v>
          </cell>
          <cell r="U262"/>
          <cell r="V262" t="str">
            <v>IG_ GA</v>
          </cell>
          <cell r="W262">
            <v>51</v>
          </cell>
          <cell r="X262">
            <v>29</v>
          </cell>
          <cell r="Y262" t="str">
            <v>K/2</v>
          </cell>
          <cell r="Z262">
            <v>3</v>
          </cell>
          <cell r="AA262" t="str">
            <v>Ya</v>
          </cell>
          <cell r="AB262" t="str">
            <v>Ya</v>
          </cell>
          <cell r="AC262" t="str">
            <v>Ya</v>
          </cell>
        </row>
        <row r="263">
          <cell r="B263" t="str">
            <v>40337</v>
          </cell>
          <cell r="C263" t="str">
            <v>W i j i o n o</v>
          </cell>
          <cell r="D263" t="str">
            <v>Ds Kalimati  RT. 003. RW. 001 Kalimati Tarik</v>
          </cell>
          <cell r="E263" t="str">
            <v>Sidoarjo</v>
          </cell>
          <cell r="F263"/>
          <cell r="G263" t="str">
            <v>3515011505700008</v>
          </cell>
          <cell r="H263" t="str">
            <v>085706505662 / 089672791300</v>
          </cell>
          <cell r="I263">
            <v>44933</v>
          </cell>
          <cell r="J263" t="e">
            <v>#VALUE!</v>
          </cell>
          <cell r="K263"/>
          <cell r="L263" t="str">
            <v>Islam</v>
          </cell>
          <cell r="M263" t="str">
            <v>Sidoarjo</v>
          </cell>
          <cell r="N263" t="str">
            <v>HRD &amp; GA</v>
          </cell>
          <cell r="O263" t="str">
            <v>Cleaning Service Umum</v>
          </cell>
          <cell r="P263" t="str">
            <v>Pelaksana</v>
          </cell>
          <cell r="Q263" t="str">
            <v>A1</v>
          </cell>
          <cell r="R263" t="str">
            <v>Shift</v>
          </cell>
          <cell r="S263" t="str">
            <v>Aktif</v>
          </cell>
          <cell r="T263" t="str">
            <v>NS1</v>
          </cell>
          <cell r="U263"/>
          <cell r="V263" t="str">
            <v>IG_ GA</v>
          </cell>
          <cell r="W263">
            <v>56</v>
          </cell>
          <cell r="X263">
            <v>29</v>
          </cell>
          <cell r="Y263" t="str">
            <v>K/0</v>
          </cell>
          <cell r="Z263">
            <v>3</v>
          </cell>
          <cell r="AA263" t="str">
            <v>Ya</v>
          </cell>
          <cell r="AB263" t="str">
            <v>Ya</v>
          </cell>
          <cell r="AC263" t="str">
            <v>Ya</v>
          </cell>
        </row>
        <row r="264">
          <cell r="B264" t="str">
            <v>40389</v>
          </cell>
          <cell r="C264" t="str">
            <v>Dwi Weko Setyawan</v>
          </cell>
          <cell r="D264" t="str">
            <v>Kahuripan Nirwana BD3 / 3A RT.03 RW.08 Sumput Kec. Sidoarjo</v>
          </cell>
          <cell r="E264" t="str">
            <v>Sidoarjo</v>
          </cell>
          <cell r="F264"/>
          <cell r="G264" t="str">
            <v>3515062311730001</v>
          </cell>
          <cell r="H264" t="str">
            <v>085645510559</v>
          </cell>
          <cell r="I264">
            <v>44933</v>
          </cell>
          <cell r="J264" t="e">
            <v>#VALUE!</v>
          </cell>
          <cell r="K264"/>
          <cell r="L264" t="str">
            <v>Islam</v>
          </cell>
          <cell r="M264" t="str">
            <v>Sidoarjo</v>
          </cell>
          <cell r="N264" t="str">
            <v>HRD &amp; GA</v>
          </cell>
          <cell r="O264" t="str">
            <v>Safety</v>
          </cell>
          <cell r="P264" t="str">
            <v>Safety Inspector</v>
          </cell>
          <cell r="Q264" t="str">
            <v>C4</v>
          </cell>
          <cell r="R264" t="str">
            <v>Shift</v>
          </cell>
          <cell r="S264" t="str">
            <v>Aktif</v>
          </cell>
          <cell r="T264" t="str">
            <v>NS1</v>
          </cell>
          <cell r="U264"/>
          <cell r="V264" t="str">
            <v>IG_ GA</v>
          </cell>
          <cell r="W264">
            <v>52</v>
          </cell>
          <cell r="X264">
            <v>29</v>
          </cell>
          <cell r="Y264" t="str">
            <v>K/2</v>
          </cell>
          <cell r="Z264">
            <v>3</v>
          </cell>
          <cell r="AA264" t="str">
            <v>Ya</v>
          </cell>
          <cell r="AB264" t="str">
            <v>Ya</v>
          </cell>
          <cell r="AC264" t="str">
            <v>Ya</v>
          </cell>
        </row>
        <row r="265">
          <cell r="B265" t="str">
            <v>40473</v>
          </cell>
          <cell r="C265" t="str">
            <v>Karyanto</v>
          </cell>
          <cell r="D265" t="str">
            <v>Ngagel Tirto 2 No.35 RT.2 RW.3 Kel. Ngagelrejo - Kec. Wonokromo</v>
          </cell>
          <cell r="E265" t="str">
            <v>Surabaya</v>
          </cell>
          <cell r="F265"/>
          <cell r="G265" t="str">
            <v>3578040107710009</v>
          </cell>
          <cell r="H265" t="str">
            <v>081330845886</v>
          </cell>
          <cell r="I265">
            <v>44933</v>
          </cell>
          <cell r="J265">
            <v>25940</v>
          </cell>
          <cell r="K265"/>
          <cell r="L265" t="str">
            <v>Islam</v>
          </cell>
          <cell r="M265" t="str">
            <v>Sidoarjo</v>
          </cell>
          <cell r="N265" t="str">
            <v>HRD &amp; GA</v>
          </cell>
          <cell r="O265" t="str">
            <v>Safety</v>
          </cell>
          <cell r="P265" t="str">
            <v>Kabag.</v>
          </cell>
          <cell r="Q265" t="str">
            <v>III</v>
          </cell>
          <cell r="R265" t="str">
            <v>Shift</v>
          </cell>
          <cell r="S265" t="str">
            <v>Aktif</v>
          </cell>
          <cell r="T265" t="str">
            <v>NS2</v>
          </cell>
          <cell r="U265"/>
          <cell r="V265" t="str">
            <v>IG_ GA</v>
          </cell>
          <cell r="W265">
            <v>55</v>
          </cell>
          <cell r="X265">
            <v>28</v>
          </cell>
          <cell r="Y265" t="str">
            <v>T/0</v>
          </cell>
          <cell r="Z265">
            <v>3</v>
          </cell>
          <cell r="AA265" t="str">
            <v>Ya</v>
          </cell>
          <cell r="AB265" t="str">
            <v>Ya</v>
          </cell>
          <cell r="AC265" t="str">
            <v>Ya</v>
          </cell>
        </row>
        <row r="266">
          <cell r="B266" t="str">
            <v>40539</v>
          </cell>
          <cell r="C266" t="str">
            <v>Hartono</v>
          </cell>
          <cell r="D266" t="str">
            <v>Perum Griya Samudra Asri, F2 No. 35 Kramat jegu Taman</v>
          </cell>
          <cell r="E266" t="str">
            <v>Sidoarjo</v>
          </cell>
          <cell r="F266"/>
          <cell r="G266" t="str">
            <v>3522151403700001</v>
          </cell>
          <cell r="H266" t="str">
            <v>087851983684</v>
          </cell>
          <cell r="I266">
            <v>44933</v>
          </cell>
          <cell r="J266" t="e">
            <v>#VALUE!</v>
          </cell>
          <cell r="K266"/>
          <cell r="L266" t="str">
            <v>Islam</v>
          </cell>
          <cell r="M266" t="str">
            <v>Sidoarjo</v>
          </cell>
          <cell r="N266" t="str">
            <v>HRD &amp; GA</v>
          </cell>
          <cell r="O266" t="str">
            <v>Keamanan</v>
          </cell>
          <cell r="P266" t="str">
            <v>Supervisor</v>
          </cell>
          <cell r="Q266" t="str">
            <v>D1</v>
          </cell>
          <cell r="R266" t="str">
            <v>Shift</v>
          </cell>
          <cell r="S266" t="str">
            <v>Aktif</v>
          </cell>
          <cell r="T266" t="str">
            <v>NS1</v>
          </cell>
          <cell r="U266"/>
          <cell r="V266" t="str">
            <v>IG_ GA</v>
          </cell>
          <cell r="W266">
            <v>56</v>
          </cell>
          <cell r="X266">
            <v>26</v>
          </cell>
          <cell r="Y266" t="str">
            <v>K/1</v>
          </cell>
          <cell r="Z266">
            <v>3</v>
          </cell>
          <cell r="AA266" t="str">
            <v>Ya</v>
          </cell>
          <cell r="AB266" t="str">
            <v>Ya</v>
          </cell>
          <cell r="AC266" t="str">
            <v>Ya</v>
          </cell>
        </row>
        <row r="267">
          <cell r="B267" t="str">
            <v>40544</v>
          </cell>
          <cell r="C267" t="str">
            <v>Djukiyanto</v>
          </cell>
          <cell r="D267" t="str">
            <v>Mojoklangru Lor No.112B RT.5 RW.4 Kel. Mojo - Kec. Gubeng</v>
          </cell>
          <cell r="E267" t="str">
            <v>Surabaya</v>
          </cell>
          <cell r="F267"/>
          <cell r="G267" t="str">
            <v>3578080608760003</v>
          </cell>
          <cell r="H267" t="str">
            <v>081332648852</v>
          </cell>
          <cell r="I267">
            <v>44933</v>
          </cell>
          <cell r="J267">
            <v>27919</v>
          </cell>
          <cell r="K267"/>
          <cell r="L267" t="str">
            <v>Islam</v>
          </cell>
          <cell r="M267" t="str">
            <v>Sidoarjo</v>
          </cell>
          <cell r="N267" t="str">
            <v>HRD &amp; GA</v>
          </cell>
          <cell r="O267" t="str">
            <v>Keamanan</v>
          </cell>
          <cell r="P267" t="str">
            <v>Kepala Regu</v>
          </cell>
          <cell r="Q267" t="str">
            <v>A4</v>
          </cell>
          <cell r="R267" t="str">
            <v>Grup Shift</v>
          </cell>
          <cell r="S267" t="str">
            <v>Aktif</v>
          </cell>
          <cell r="T267"/>
          <cell r="U267" t="str">
            <v>SATA240526</v>
          </cell>
          <cell r="V267" t="str">
            <v>IG_ GA</v>
          </cell>
          <cell r="W267">
            <v>49</v>
          </cell>
          <cell r="X267">
            <v>26</v>
          </cell>
          <cell r="Y267" t="str">
            <v>K/1</v>
          </cell>
          <cell r="Z267">
            <v>3</v>
          </cell>
          <cell r="AA267" t="str">
            <v>Ya</v>
          </cell>
          <cell r="AB267" t="str">
            <v>Ya</v>
          </cell>
          <cell r="AC267" t="str">
            <v>Ya</v>
          </cell>
        </row>
        <row r="268">
          <cell r="B268" t="str">
            <v>40602</v>
          </cell>
          <cell r="C268" t="str">
            <v>Anita Wijayanti</v>
          </cell>
          <cell r="D268" t="str">
            <v>Kedungtarukan No.60A RT.02 RW.03 Pacarkembang - Tambaksari</v>
          </cell>
          <cell r="E268" t="str">
            <v>Surabaya</v>
          </cell>
          <cell r="F268"/>
          <cell r="G268" t="str">
            <v>3578104812820003</v>
          </cell>
          <cell r="H268" t="str">
            <v>081335150828</v>
          </cell>
          <cell r="I268">
            <v>44933</v>
          </cell>
          <cell r="J268">
            <v>30175</v>
          </cell>
          <cell r="K268"/>
          <cell r="L268" t="str">
            <v>Islam</v>
          </cell>
          <cell r="M268" t="str">
            <v>Sidoarjo</v>
          </cell>
          <cell r="N268" t="str">
            <v>HRD &amp; GA</v>
          </cell>
          <cell r="O268" t="str">
            <v>Legal</v>
          </cell>
          <cell r="P268" t="str">
            <v>Staf Equel To Kabag</v>
          </cell>
          <cell r="Q268" t="str">
            <v>III</v>
          </cell>
          <cell r="R268" t="str">
            <v>Shift</v>
          </cell>
          <cell r="S268" t="str">
            <v>Aktif</v>
          </cell>
          <cell r="T268" t="str">
            <v>NS2</v>
          </cell>
          <cell r="U268"/>
          <cell r="V268" t="str">
            <v>IG_ GA</v>
          </cell>
          <cell r="W268">
            <v>43</v>
          </cell>
          <cell r="X268">
            <v>20</v>
          </cell>
          <cell r="Y268" t="str">
            <v>T/0</v>
          </cell>
          <cell r="Z268">
            <v>3</v>
          </cell>
          <cell r="AA268" t="str">
            <v>Ya</v>
          </cell>
          <cell r="AB268" t="str">
            <v>Ya</v>
          </cell>
          <cell r="AC268" t="str">
            <v>Ya</v>
          </cell>
        </row>
        <row r="269">
          <cell r="B269" t="str">
            <v>40635</v>
          </cell>
          <cell r="C269" t="str">
            <v>Indah Puji Astutik</v>
          </cell>
          <cell r="D269" t="str">
            <v>Dsn. Salam Rt. 013 Rw. 004 Kel. Suko Kec. Sidoarjo</v>
          </cell>
          <cell r="E269" t="str">
            <v>Sidoarjo</v>
          </cell>
          <cell r="F269"/>
          <cell r="G269" t="str">
            <v>3515084610780004</v>
          </cell>
          <cell r="H269" t="str">
            <v>085731959595</v>
          </cell>
          <cell r="I269">
            <v>44933</v>
          </cell>
          <cell r="J269">
            <v>28651</v>
          </cell>
          <cell r="K269"/>
          <cell r="L269" t="str">
            <v>Islam</v>
          </cell>
          <cell r="M269" t="str">
            <v>Sidoarjo</v>
          </cell>
          <cell r="N269" t="str">
            <v>HRD &amp; GA</v>
          </cell>
          <cell r="O269" t="str">
            <v>Safety</v>
          </cell>
          <cell r="P269" t="str">
            <v>Adm (pelaksana)</v>
          </cell>
          <cell r="Q269" t="str">
            <v>B1</v>
          </cell>
          <cell r="R269" t="str">
            <v>Shift</v>
          </cell>
          <cell r="S269" t="str">
            <v>Aktif</v>
          </cell>
          <cell r="T269" t="str">
            <v>NS2</v>
          </cell>
          <cell r="U269"/>
          <cell r="V269" t="str">
            <v>IG_ GA</v>
          </cell>
          <cell r="W269">
            <v>47</v>
          </cell>
          <cell r="X269">
            <v>18</v>
          </cell>
          <cell r="Y269" t="str">
            <v>T/0</v>
          </cell>
          <cell r="Z269">
            <v>3</v>
          </cell>
          <cell r="AA269" t="str">
            <v>Ya</v>
          </cell>
          <cell r="AB269" t="str">
            <v>Ya</v>
          </cell>
          <cell r="AC269" t="str">
            <v>Ya</v>
          </cell>
        </row>
        <row r="270">
          <cell r="B270" t="str">
            <v>40679</v>
          </cell>
          <cell r="C270" t="str">
            <v>Noviati Dina Damayanti</v>
          </cell>
          <cell r="D270" t="str">
            <v>Rungkut Menanggal Harapan P-34  RT.13 RW.04 Rungkut Menanggal  Gunung Anyar, Surabaya (60293)</v>
          </cell>
          <cell r="E270" t="str">
            <v>Surabaya (60293)</v>
          </cell>
          <cell r="F270"/>
          <cell r="G270" t="str">
            <v>3578256311740004</v>
          </cell>
          <cell r="H270" t="str">
            <v>087851504923</v>
          </cell>
          <cell r="I270">
            <v>44933</v>
          </cell>
          <cell r="J270" t="e">
            <v>#VALUE!</v>
          </cell>
          <cell r="K270"/>
          <cell r="L270" t="str">
            <v>Islam</v>
          </cell>
          <cell r="M270" t="str">
            <v>Sidoarjo</v>
          </cell>
          <cell r="N270" t="str">
            <v>HRD &amp; GA</v>
          </cell>
          <cell r="O270" t="str">
            <v>Personalia</v>
          </cell>
          <cell r="P270" t="str">
            <v>Kabag.</v>
          </cell>
          <cell r="Q270" t="str">
            <v>III</v>
          </cell>
          <cell r="R270" t="str">
            <v>Shift</v>
          </cell>
          <cell r="S270" t="str">
            <v>Aktif</v>
          </cell>
          <cell r="T270" t="str">
            <v>NS2</v>
          </cell>
          <cell r="U270"/>
          <cell r="V270" t="str">
            <v>IG_ GA</v>
          </cell>
          <cell r="W270">
            <v>51</v>
          </cell>
          <cell r="X270">
            <v>14</v>
          </cell>
          <cell r="Y270" t="str">
            <v>T/0</v>
          </cell>
          <cell r="Z270">
            <v>3</v>
          </cell>
          <cell r="AA270" t="str">
            <v>Ya</v>
          </cell>
          <cell r="AB270" t="str">
            <v>Ya</v>
          </cell>
          <cell r="AC270" t="str">
            <v>Ya</v>
          </cell>
        </row>
        <row r="271">
          <cell r="B271" t="str">
            <v>40742</v>
          </cell>
          <cell r="C271" t="str">
            <v>Raning Janti Kusuma Widjaja</v>
          </cell>
          <cell r="D271" t="str">
            <v>Apotek Baran - Jl. Wicaksono Dsn. Baran RT.3 RW.1 Kel. Winong Kec. Gempol</v>
          </cell>
          <cell r="E271" t="str">
            <v>Pasuruan</v>
          </cell>
          <cell r="F271" t="str">
            <v>0343 - 659271</v>
          </cell>
          <cell r="G271" t="str">
            <v>3502175501870001</v>
          </cell>
          <cell r="H271" t="str">
            <v>081803066415</v>
          </cell>
          <cell r="I271">
            <v>44933</v>
          </cell>
          <cell r="J271" t="e">
            <v>#VALUE!</v>
          </cell>
          <cell r="K271"/>
          <cell r="L271" t="str">
            <v>Kristen Protestan</v>
          </cell>
          <cell r="M271" t="str">
            <v>Sidoarjo</v>
          </cell>
          <cell r="N271" t="str">
            <v>HRD &amp; GA</v>
          </cell>
          <cell r="O271" t="str">
            <v>Personalia</v>
          </cell>
          <cell r="P271" t="str">
            <v>Staf Equel To Kabag</v>
          </cell>
          <cell r="Q271" t="str">
            <v>III</v>
          </cell>
          <cell r="R271" t="str">
            <v>Shift</v>
          </cell>
          <cell r="S271" t="str">
            <v>Aktif</v>
          </cell>
          <cell r="T271" t="str">
            <v>NS2</v>
          </cell>
          <cell r="U271"/>
          <cell r="V271" t="str">
            <v>IG_ GA</v>
          </cell>
          <cell r="W271">
            <v>39</v>
          </cell>
          <cell r="X271">
            <v>12</v>
          </cell>
          <cell r="Y271" t="str">
            <v>T/0</v>
          </cell>
          <cell r="Z271">
            <v>3</v>
          </cell>
          <cell r="AA271" t="str">
            <v>Ya</v>
          </cell>
          <cell r="AB271" t="str">
            <v>Ya</v>
          </cell>
          <cell r="AC271" t="str">
            <v>Ya</v>
          </cell>
        </row>
        <row r="272">
          <cell r="B272" t="str">
            <v>40755</v>
          </cell>
          <cell r="C272" t="str">
            <v>Setiarso</v>
          </cell>
          <cell r="D272" t="str">
            <v>Mojoklanggru Lor Baru I /4 RT.05 RW.02 Mojo - Gubeng</v>
          </cell>
          <cell r="E272" t="str">
            <v>Surabaya</v>
          </cell>
          <cell r="F272"/>
          <cell r="G272" t="str">
            <v>3578080611540002</v>
          </cell>
          <cell r="H272" t="str">
            <v>085816800275</v>
          </cell>
          <cell r="I272" t="e">
            <v>#VALUE!</v>
          </cell>
          <cell r="J272">
            <v>19886</v>
          </cell>
          <cell r="K272"/>
          <cell r="L272" t="str">
            <v>Islam</v>
          </cell>
          <cell r="M272" t="str">
            <v>Sidoarjo</v>
          </cell>
          <cell r="N272" t="str">
            <v>HRD &amp; GA</v>
          </cell>
          <cell r="O272" t="str">
            <v>Driver</v>
          </cell>
          <cell r="P272" t="str">
            <v>Driver</v>
          </cell>
          <cell r="Q272" t="str">
            <v>A1</v>
          </cell>
          <cell r="R272" t="str">
            <v>Shift</v>
          </cell>
          <cell r="S272" t="str">
            <v>Aktif</v>
          </cell>
          <cell r="T272" t="str">
            <v>NS2</v>
          </cell>
          <cell r="U272"/>
          <cell r="V272" t="str">
            <v>IG_ GA</v>
          </cell>
          <cell r="W272">
            <v>71</v>
          </cell>
          <cell r="X272">
            <v>9</v>
          </cell>
          <cell r="Y272" t="str">
            <v>T/0</v>
          </cell>
          <cell r="Z272">
            <v>9</v>
          </cell>
          <cell r="AA272" t="str">
            <v>Ya</v>
          </cell>
          <cell r="AB272" t="str">
            <v>Tidak</v>
          </cell>
          <cell r="AC272" t="str">
            <v>Tidak</v>
          </cell>
        </row>
        <row r="273">
          <cell r="B273" t="str">
            <v>40759</v>
          </cell>
          <cell r="C273" t="str">
            <v>Andi Trias Permana, ST</v>
          </cell>
          <cell r="D273" t="str">
            <v>Jl. Kalijudan Taruna 3 No.2 RT.08 RW.03 Kalijudan  Mulyorejo</v>
          </cell>
          <cell r="E273" t="str">
            <v>Surabaya</v>
          </cell>
          <cell r="F273"/>
          <cell r="G273" t="str">
            <v>3578260111830004</v>
          </cell>
          <cell r="H273" t="str">
            <v>085236468556</v>
          </cell>
          <cell r="I273">
            <v>44933</v>
          </cell>
          <cell r="J273">
            <v>30327</v>
          </cell>
          <cell r="K273"/>
          <cell r="L273" t="str">
            <v>Islam</v>
          </cell>
          <cell r="M273" t="str">
            <v>Sidoarjo</v>
          </cell>
          <cell r="N273" t="str">
            <v>HRD &amp; GA</v>
          </cell>
          <cell r="O273" t="str">
            <v>General Affair</v>
          </cell>
          <cell r="P273" t="str">
            <v>Supervisor</v>
          </cell>
          <cell r="Q273" t="str">
            <v>C2</v>
          </cell>
          <cell r="R273" t="str">
            <v>Shift</v>
          </cell>
          <cell r="S273" t="str">
            <v>Aktif</v>
          </cell>
          <cell r="T273" t="str">
            <v>NS2</v>
          </cell>
          <cell r="U273"/>
          <cell r="V273" t="str">
            <v>IG_ GA</v>
          </cell>
          <cell r="W273">
            <v>42</v>
          </cell>
          <cell r="X273">
            <v>9</v>
          </cell>
          <cell r="Y273" t="str">
            <v>K/2</v>
          </cell>
          <cell r="Z273">
            <v>3</v>
          </cell>
          <cell r="AA273" t="str">
            <v>Ya</v>
          </cell>
          <cell r="AB273" t="str">
            <v>Ya</v>
          </cell>
          <cell r="AC273" t="str">
            <v>Ya</v>
          </cell>
        </row>
        <row r="274">
          <cell r="B274" t="str">
            <v>40891</v>
          </cell>
          <cell r="C274" t="str">
            <v>Ahmad Khoirul Fanani</v>
          </cell>
          <cell r="D274" t="str">
            <v>Dusun Besuk RT.01 RW.01 Jabaran, Balongbendo</v>
          </cell>
          <cell r="E274" t="str">
            <v>Sidoarjo</v>
          </cell>
          <cell r="F274"/>
          <cell r="G274" t="str">
            <v>3515111111910001</v>
          </cell>
          <cell r="H274" t="str">
            <v>085755625418</v>
          </cell>
          <cell r="I274" t="e">
            <v>#VALUE!</v>
          </cell>
          <cell r="J274">
            <v>33553</v>
          </cell>
          <cell r="K274"/>
          <cell r="L274" t="str">
            <v>Islam</v>
          </cell>
          <cell r="M274" t="str">
            <v>Sidoarjo</v>
          </cell>
          <cell r="N274" t="str">
            <v>HRD &amp; GA</v>
          </cell>
          <cell r="O274" t="str">
            <v>Keamanan</v>
          </cell>
          <cell r="P274" t="str">
            <v>Kepala Regu</v>
          </cell>
          <cell r="Q274" t="str">
            <v>A4</v>
          </cell>
          <cell r="R274" t="str">
            <v>Grup Shift</v>
          </cell>
          <cell r="S274" t="str">
            <v>Aktif</v>
          </cell>
          <cell r="T274"/>
          <cell r="U274" t="str">
            <v>SATC240526</v>
          </cell>
          <cell r="V274" t="str">
            <v>IG_ GA</v>
          </cell>
          <cell r="W274">
            <v>34</v>
          </cell>
          <cell r="X274">
            <v>3</v>
          </cell>
          <cell r="Y274" t="str">
            <v>K/1</v>
          </cell>
          <cell r="Z274">
            <v>3</v>
          </cell>
          <cell r="AA274" t="str">
            <v>Ya</v>
          </cell>
          <cell r="AB274" t="str">
            <v>Ya</v>
          </cell>
          <cell r="AC274" t="str">
            <v>Ya</v>
          </cell>
        </row>
        <row r="275">
          <cell r="B275" t="str">
            <v>40893</v>
          </cell>
          <cell r="C275" t="str">
            <v>Udi</v>
          </cell>
          <cell r="D275" t="str">
            <v>Pondok Gede Bekasi</v>
          </cell>
          <cell r="E275" t="str">
            <v>Tangerang</v>
          </cell>
          <cell r="F275"/>
          <cell r="G275" t="str">
            <v>3201191205710003</v>
          </cell>
          <cell r="H275" t="str">
            <v>085772308036</v>
          </cell>
          <cell r="I275">
            <v>44933</v>
          </cell>
          <cell r="J275">
            <v>26272</v>
          </cell>
          <cell r="K275"/>
          <cell r="L275" t="str">
            <v>Islam</v>
          </cell>
          <cell r="M275" t="str">
            <v>Jakarta</v>
          </cell>
          <cell r="N275" t="str">
            <v>HRD &amp; GA Jakarta</v>
          </cell>
          <cell r="O275" t="str">
            <v>Driver Jakarta</v>
          </cell>
          <cell r="P275" t="str">
            <v>Driver</v>
          </cell>
          <cell r="Q275" t="str">
            <v>A1</v>
          </cell>
          <cell r="R275" t="str">
            <v>Shift</v>
          </cell>
          <cell r="S275" t="str">
            <v>Aktif</v>
          </cell>
          <cell r="T275" t="str">
            <v>NS2</v>
          </cell>
          <cell r="U275"/>
          <cell r="V275" t="str">
            <v>Marketing</v>
          </cell>
          <cell r="W275">
            <v>55</v>
          </cell>
          <cell r="X275">
            <v>3</v>
          </cell>
          <cell r="Y275" t="str">
            <v>K/0</v>
          </cell>
          <cell r="Z275">
            <v>3</v>
          </cell>
          <cell r="AA275" t="str">
            <v>Tidak</v>
          </cell>
          <cell r="AB275" t="str">
            <v>Tidak</v>
          </cell>
          <cell r="AC275" t="str">
            <v>Tidak</v>
          </cell>
        </row>
        <row r="276">
          <cell r="B276" t="str">
            <v>40894</v>
          </cell>
          <cell r="C276" t="str">
            <v>Lestari Agustin</v>
          </cell>
          <cell r="D276" t="str">
            <v>Jl. Dato Tonggara III, Rt. 004/011 No. 141 Kramatjati, Kramatjati</v>
          </cell>
          <cell r="E276" t="str">
            <v>Jakarta Timur (13510)</v>
          </cell>
          <cell r="F276"/>
          <cell r="G276" t="str">
            <v>3175045708810006</v>
          </cell>
          <cell r="H276" t="str">
            <v>082123108540</v>
          </cell>
          <cell r="I276" t="e">
            <v>#VALUE!</v>
          </cell>
          <cell r="J276" t="e">
            <v>#VALUE!</v>
          </cell>
          <cell r="K276"/>
          <cell r="L276" t="str">
            <v>Budha</v>
          </cell>
          <cell r="M276" t="str">
            <v>Jakarta</v>
          </cell>
          <cell r="N276" t="str">
            <v>HRD &amp; GA Jakarta</v>
          </cell>
          <cell r="O276" t="str">
            <v>Genaral Affair Jakarta</v>
          </cell>
          <cell r="P276" t="str">
            <v>Staf Equel To Kabag</v>
          </cell>
          <cell r="Q276" t="str">
            <v>III</v>
          </cell>
          <cell r="R276" t="str">
            <v>Shift</v>
          </cell>
          <cell r="S276" t="str">
            <v>Aktif</v>
          </cell>
          <cell r="T276" t="str">
            <v>NS2</v>
          </cell>
          <cell r="U276"/>
          <cell r="V276" t="str">
            <v>Marketing</v>
          </cell>
          <cell r="W276">
            <v>44</v>
          </cell>
          <cell r="X276">
            <v>2</v>
          </cell>
          <cell r="Y276" t="str">
            <v>T/0</v>
          </cell>
          <cell r="Z276">
            <v>2</v>
          </cell>
          <cell r="AA276" t="str">
            <v>Tidak</v>
          </cell>
          <cell r="AB276" t="str">
            <v>Tidak</v>
          </cell>
          <cell r="AC276" t="str">
            <v>Tidak</v>
          </cell>
        </row>
        <row r="277">
          <cell r="B277" t="str">
            <v>40900</v>
          </cell>
          <cell r="C277" t="str">
            <v>Agitiah</v>
          </cell>
          <cell r="D277" t="str">
            <v>Jl. Masjid Arohmah Rt.04 Rw.02 Jatirahayu, kec. Pondok melati</v>
          </cell>
          <cell r="E277" t="str">
            <v>Bekasi</v>
          </cell>
          <cell r="F277"/>
          <cell r="G277" t="str">
            <v>3275120908930003</v>
          </cell>
          <cell r="H277" t="str">
            <v>081319192954</v>
          </cell>
          <cell r="I277">
            <v>45242</v>
          </cell>
          <cell r="J277">
            <v>34220</v>
          </cell>
          <cell r="K277"/>
          <cell r="L277" t="str">
            <v>Budha</v>
          </cell>
          <cell r="M277" t="str">
            <v>Jakarta</v>
          </cell>
          <cell r="N277" t="str">
            <v>HRD &amp; GA Jakarta</v>
          </cell>
          <cell r="O277" t="str">
            <v>Genaral Affair Jakarta</v>
          </cell>
          <cell r="P277" t="str">
            <v>Pelaksana</v>
          </cell>
          <cell r="Q277" t="str">
            <v>A1</v>
          </cell>
          <cell r="R277" t="str">
            <v>Shift</v>
          </cell>
          <cell r="S277" t="str">
            <v>Aktif</v>
          </cell>
          <cell r="T277" t="str">
            <v>NS2</v>
          </cell>
          <cell r="U277"/>
          <cell r="V277" t="str">
            <v>Marketing</v>
          </cell>
          <cell r="W277">
            <v>32</v>
          </cell>
          <cell r="X277">
            <v>2</v>
          </cell>
          <cell r="Y277" t="str">
            <v>T/0</v>
          </cell>
          <cell r="Z277">
            <v>2</v>
          </cell>
          <cell r="AA277" t="str">
            <v>Tidak</v>
          </cell>
          <cell r="AB277" t="str">
            <v>Tidak</v>
          </cell>
          <cell r="AC277" t="str">
            <v>Tidak</v>
          </cell>
        </row>
        <row r="278">
          <cell r="B278" t="str">
            <v>40902</v>
          </cell>
          <cell r="C278" t="str">
            <v>Edy</v>
          </cell>
          <cell r="D278" t="str">
            <v>Jl. Daan Mogot Rt.01 Rw.06 No.26 Kedaung Kali Angke - Cengkareng</v>
          </cell>
          <cell r="E278" t="str">
            <v>Jakarta Barat</v>
          </cell>
          <cell r="F278"/>
          <cell r="G278" t="str">
            <v>3173011605800014</v>
          </cell>
          <cell r="H278" t="str">
            <v>085774473770</v>
          </cell>
          <cell r="I278" t="e">
            <v>#VALUE!</v>
          </cell>
          <cell r="J278" t="e">
            <v>#VALUE!</v>
          </cell>
          <cell r="K278"/>
          <cell r="L278" t="str">
            <v>Islam</v>
          </cell>
          <cell r="M278" t="str">
            <v>Jakarta</v>
          </cell>
          <cell r="N278" t="str">
            <v>HRD &amp; GA Jakarta</v>
          </cell>
          <cell r="O278" t="str">
            <v>Driver Jakarta</v>
          </cell>
          <cell r="P278" t="str">
            <v>Driver</v>
          </cell>
          <cell r="Q278" t="str">
            <v>A1</v>
          </cell>
          <cell r="R278" t="str">
            <v>Shift</v>
          </cell>
          <cell r="S278" t="str">
            <v>Aktif</v>
          </cell>
          <cell r="T278" t="str">
            <v>NS2</v>
          </cell>
          <cell r="U278"/>
          <cell r="V278" t="str">
            <v>Marketing</v>
          </cell>
          <cell r="W278">
            <v>46</v>
          </cell>
          <cell r="X278">
            <v>2</v>
          </cell>
          <cell r="Y278" t="str">
            <v>K/3</v>
          </cell>
          <cell r="Z278">
            <v>2</v>
          </cell>
          <cell r="AA278" t="str">
            <v>Tidak</v>
          </cell>
          <cell r="AB278" t="str">
            <v>Tidak</v>
          </cell>
          <cell r="AC278" t="str">
            <v>Tidak</v>
          </cell>
        </row>
        <row r="279">
          <cell r="B279" t="str">
            <v>40909</v>
          </cell>
          <cell r="C279" t="str">
            <v>Putra Wibisana Yogasara</v>
          </cell>
          <cell r="D279" t="str">
            <v>Apartemen Puncak Bukit Golf 2601. Jalan Bukit Darmo Boulevard B-2, Pradahkali Kendal, Dukuh Pakis</v>
          </cell>
          <cell r="E279" t="str">
            <v>Surabaya</v>
          </cell>
          <cell r="F279"/>
          <cell r="G279" t="str">
            <v>3175072806900003</v>
          </cell>
          <cell r="H279" t="str">
            <v>081385307282</v>
          </cell>
          <cell r="I279" t="e">
            <v>#VALUE!</v>
          </cell>
          <cell r="J279" t="e">
            <v>#VALUE!</v>
          </cell>
          <cell r="K279"/>
          <cell r="L279" t="str">
            <v>Islam</v>
          </cell>
          <cell r="M279" t="str">
            <v>Sidoarjo</v>
          </cell>
          <cell r="N279" t="str">
            <v>HRD &amp; GA</v>
          </cell>
          <cell r="O279" t="str">
            <v>HRD&amp;GA</v>
          </cell>
          <cell r="P279" t="str">
            <v>Manager</v>
          </cell>
          <cell r="Q279" t="str">
            <v>II</v>
          </cell>
          <cell r="R279" t="str">
            <v>Shift</v>
          </cell>
          <cell r="S279" t="str">
            <v>Aktif</v>
          </cell>
          <cell r="T279" t="str">
            <v>NS2</v>
          </cell>
          <cell r="U279"/>
          <cell r="V279" t="str">
            <v>IG_ GA</v>
          </cell>
          <cell r="W279">
            <v>36</v>
          </cell>
          <cell r="X279">
            <v>2</v>
          </cell>
          <cell r="Y279" t="str">
            <v>T/1</v>
          </cell>
          <cell r="Z279">
            <v>2</v>
          </cell>
          <cell r="AA279" t="str">
            <v>Ya</v>
          </cell>
          <cell r="AB279" t="str">
            <v>Ya</v>
          </cell>
          <cell r="AC279" t="str">
            <v>Ya</v>
          </cell>
        </row>
        <row r="280">
          <cell r="B280" t="str">
            <v>40917</v>
          </cell>
          <cell r="C280" t="str">
            <v>Muhammad Wahyu Adam Firmansyah</v>
          </cell>
          <cell r="D280" t="str">
            <v>Jagalan Rt.14 Rw.03 Kel. Krian - Krian, Taman</v>
          </cell>
          <cell r="E280" t="str">
            <v>Sidoarjo</v>
          </cell>
          <cell r="F280"/>
          <cell r="G280" t="str">
            <v>3515112409960004</v>
          </cell>
          <cell r="H280"/>
          <cell r="I280">
            <v>45334</v>
          </cell>
          <cell r="J280" t="e">
            <v>#VALUE!</v>
          </cell>
          <cell r="K280"/>
          <cell r="L280" t="str">
            <v>Islam</v>
          </cell>
          <cell r="M280" t="str">
            <v>Sidoarjo</v>
          </cell>
          <cell r="N280" t="str">
            <v>HRD &amp; GA</v>
          </cell>
          <cell r="O280" t="str">
            <v>General Affair</v>
          </cell>
          <cell r="P280" t="str">
            <v>Supervisor</v>
          </cell>
          <cell r="Q280" t="str">
            <v>C2</v>
          </cell>
          <cell r="R280" t="str">
            <v>Shift</v>
          </cell>
          <cell r="S280" t="str">
            <v>Aktif</v>
          </cell>
          <cell r="T280" t="str">
            <v>NS2</v>
          </cell>
          <cell r="U280"/>
          <cell r="V280" t="str">
            <v>IG_ GA</v>
          </cell>
          <cell r="W280">
            <v>29</v>
          </cell>
          <cell r="X280">
            <v>1</v>
          </cell>
          <cell r="Y280" t="str">
            <v>K/2</v>
          </cell>
          <cell r="Z280">
            <v>1</v>
          </cell>
          <cell r="AA280" t="str">
            <v>Ya</v>
          </cell>
          <cell r="AB280" t="str">
            <v>Ya</v>
          </cell>
          <cell r="AC280" t="str">
            <v>Ya</v>
          </cell>
        </row>
        <row r="281">
          <cell r="B281" t="str">
            <v>40918</v>
          </cell>
          <cell r="C281" t="str">
            <v>Prila Harry Widagdo</v>
          </cell>
          <cell r="D281" t="str">
            <v>Perum Rewwin - Waru</v>
          </cell>
          <cell r="E281" t="str">
            <v>Sidoarjo</v>
          </cell>
          <cell r="F281"/>
          <cell r="G281" t="str">
            <v>3506260804880001</v>
          </cell>
          <cell r="H281" t="str">
            <v>085843958063</v>
          </cell>
          <cell r="I281">
            <v>45689</v>
          </cell>
          <cell r="J281">
            <v>32359</v>
          </cell>
          <cell r="K281"/>
          <cell r="L281" t="str">
            <v>Islam</v>
          </cell>
          <cell r="M281" t="str">
            <v>Sidoarjo</v>
          </cell>
          <cell r="N281" t="str">
            <v>HRD &amp; GA</v>
          </cell>
          <cell r="O281" t="str">
            <v>Keamanan</v>
          </cell>
          <cell r="P281" t="str">
            <v>Kepala Regu</v>
          </cell>
          <cell r="Q281" t="str">
            <v>A4</v>
          </cell>
          <cell r="R281" t="str">
            <v>Grup Shift</v>
          </cell>
          <cell r="S281" t="str">
            <v>Aktif</v>
          </cell>
          <cell r="T281"/>
          <cell r="U281" t="str">
            <v>SATB240526</v>
          </cell>
          <cell r="V281" t="str">
            <v>IG_ GA</v>
          </cell>
          <cell r="W281">
            <v>38</v>
          </cell>
          <cell r="X281">
            <v>1</v>
          </cell>
          <cell r="Y281" t="str">
            <v>K/1</v>
          </cell>
          <cell r="Z281">
            <v>1</v>
          </cell>
          <cell r="AA281" t="str">
            <v>Ya</v>
          </cell>
          <cell r="AB281" t="str">
            <v>Ya</v>
          </cell>
          <cell r="AC281" t="str">
            <v>Ya</v>
          </cell>
        </row>
        <row r="282">
          <cell r="B282" t="str">
            <v>40919</v>
          </cell>
          <cell r="C282" t="str">
            <v>Sunan Dimas Budihartoni</v>
          </cell>
          <cell r="D282" t="str">
            <v>Kp. Grogol Rt.002/Rw.002 Grogol, Limo</v>
          </cell>
          <cell r="E282" t="str">
            <v>Depok, Jawa Barat</v>
          </cell>
          <cell r="F282"/>
          <cell r="G282" t="str">
            <v>3276040609050002</v>
          </cell>
          <cell r="H282" t="str">
            <v>089523029902</v>
          </cell>
          <cell r="I282">
            <v>45932</v>
          </cell>
          <cell r="J282">
            <v>38512</v>
          </cell>
          <cell r="K282"/>
          <cell r="L282" t="str">
            <v>Islam</v>
          </cell>
          <cell r="M282" t="str">
            <v>Jakarta</v>
          </cell>
          <cell r="N282" t="str">
            <v>HRD &amp; GA Jakarta</v>
          </cell>
          <cell r="O282" t="str">
            <v>Genaral Affair Jakarta</v>
          </cell>
          <cell r="P282" t="str">
            <v>Pelaksana</v>
          </cell>
          <cell r="Q282" t="str">
            <v>A1</v>
          </cell>
          <cell r="R282" t="str">
            <v>Shift</v>
          </cell>
          <cell r="S282" t="str">
            <v>Aktif</v>
          </cell>
          <cell r="T282" t="str">
            <v>NS2</v>
          </cell>
          <cell r="U282"/>
          <cell r="V282" t="str">
            <v>Marketing</v>
          </cell>
          <cell r="W282">
            <v>20</v>
          </cell>
          <cell r="X282">
            <v>1</v>
          </cell>
          <cell r="Y282" t="str">
            <v>T/0</v>
          </cell>
          <cell r="Z282">
            <v>1</v>
          </cell>
          <cell r="AA282" t="str">
            <v>Tidak</v>
          </cell>
          <cell r="AB282" t="str">
            <v>Tidak</v>
          </cell>
          <cell r="AC282" t="str">
            <v>Tidak</v>
          </cell>
        </row>
        <row r="283">
          <cell r="B283" t="str">
            <v>40931</v>
          </cell>
          <cell r="C283" t="str">
            <v>Maria Mulia Nugroho</v>
          </cell>
          <cell r="D283" t="str">
            <v>Delta Puspa 119 Rt.028 Rw.008, Ngingas, Waru</v>
          </cell>
          <cell r="E283" t="str">
            <v>Sidoarjo (61256)</v>
          </cell>
          <cell r="F283"/>
          <cell r="G283" t="str">
            <v>3515185403970003</v>
          </cell>
          <cell r="H283" t="str">
            <v>081945518303</v>
          </cell>
          <cell r="I283">
            <v>45727</v>
          </cell>
          <cell r="J283" t="e">
            <v>#VALUE!</v>
          </cell>
          <cell r="K283"/>
          <cell r="L283" t="str">
            <v>Kristen Protestan</v>
          </cell>
          <cell r="M283" t="str">
            <v>Sidoarjo</v>
          </cell>
          <cell r="N283" t="str">
            <v>HRD &amp; GA</v>
          </cell>
          <cell r="O283" t="str">
            <v>HRD&amp;GA</v>
          </cell>
          <cell r="P283" t="str">
            <v>Staf Equel To Kabag</v>
          </cell>
          <cell r="Q283" t="str">
            <v>III</v>
          </cell>
          <cell r="R283" t="str">
            <v>Shift</v>
          </cell>
          <cell r="S283" t="str">
            <v>Aktif</v>
          </cell>
          <cell r="T283" t="str">
            <v>NS2</v>
          </cell>
          <cell r="U283"/>
          <cell r="V283" t="str">
            <v>IG_ GA</v>
          </cell>
          <cell r="W283">
            <v>29</v>
          </cell>
          <cell r="X283">
            <v>0</v>
          </cell>
          <cell r="Y283" t="str">
            <v>T/0</v>
          </cell>
          <cell r="Z283">
            <v>0</v>
          </cell>
          <cell r="AA283" t="str">
            <v>Tidak</v>
          </cell>
          <cell r="AB283" t="str">
            <v>Tidak</v>
          </cell>
          <cell r="AC283" t="str">
            <v>Tidak</v>
          </cell>
        </row>
        <row r="284">
          <cell r="B284" t="str">
            <v>50021</v>
          </cell>
          <cell r="C284" t="str">
            <v>I Nyoman Laba</v>
          </cell>
          <cell r="D284" t="str">
            <v>Perum Mutiara Citra Apsari Blok : I No. 9 Rt.07 Rw.02 Ds. Simogirang Kec. Prambon</v>
          </cell>
          <cell r="E284" t="str">
            <v>Sidoarjo</v>
          </cell>
          <cell r="F284"/>
          <cell r="G284" t="str">
            <v>3515110506710002</v>
          </cell>
          <cell r="H284" t="str">
            <v>081252948706</v>
          </cell>
          <cell r="I284">
            <v>44933</v>
          </cell>
          <cell r="J284">
            <v>26059</v>
          </cell>
          <cell r="K284"/>
          <cell r="L284" t="str">
            <v>Hindu</v>
          </cell>
          <cell r="M284" t="str">
            <v>Sidoarjo</v>
          </cell>
          <cell r="N284" t="str">
            <v>Supply Chain</v>
          </cell>
          <cell r="O284" t="str">
            <v>Gudang</v>
          </cell>
          <cell r="P284" t="str">
            <v>Kabag.</v>
          </cell>
          <cell r="Q284" t="str">
            <v>III</v>
          </cell>
          <cell r="R284" t="str">
            <v>Shift</v>
          </cell>
          <cell r="S284" t="str">
            <v>Aktif</v>
          </cell>
          <cell r="T284" t="str">
            <v>NS2</v>
          </cell>
          <cell r="U284"/>
          <cell r="V284" t="str">
            <v>Instant</v>
          </cell>
          <cell r="W284">
            <v>55</v>
          </cell>
          <cell r="X284">
            <v>34</v>
          </cell>
          <cell r="Y284" t="str">
            <v>K/0</v>
          </cell>
          <cell r="Z284">
            <v>3</v>
          </cell>
          <cell r="AA284" t="str">
            <v>Ya</v>
          </cell>
          <cell r="AB284" t="str">
            <v>Ya</v>
          </cell>
          <cell r="AC284" t="str">
            <v>Ya</v>
          </cell>
        </row>
        <row r="285">
          <cell r="B285" t="str">
            <v>50058</v>
          </cell>
          <cell r="C285" t="str">
            <v>Sugiyanto</v>
          </cell>
          <cell r="D285" t="str">
            <v>Dsn. Sidorogo RT. 03 RW. 06 Trosobo Taman</v>
          </cell>
          <cell r="E285" t="str">
            <v>Sidoarjo</v>
          </cell>
          <cell r="F285"/>
          <cell r="G285" t="str">
            <v>3515132310710005</v>
          </cell>
          <cell r="H285" t="str">
            <v>082302446041</v>
          </cell>
          <cell r="I285">
            <v>44933</v>
          </cell>
          <cell r="J285" t="e">
            <v>#VALUE!</v>
          </cell>
          <cell r="K285"/>
          <cell r="L285" t="str">
            <v>Islam</v>
          </cell>
          <cell r="M285" t="str">
            <v>Sidoarjo</v>
          </cell>
          <cell r="N285" t="str">
            <v>Supply Chain</v>
          </cell>
          <cell r="O285" t="str">
            <v>Supporting Material Warehouse</v>
          </cell>
          <cell r="P285" t="str">
            <v>Pelaksana</v>
          </cell>
          <cell r="Q285" t="str">
            <v>A1</v>
          </cell>
          <cell r="R285" t="str">
            <v>Shift</v>
          </cell>
          <cell r="S285" t="str">
            <v>Aktif</v>
          </cell>
          <cell r="T285" t="str">
            <v>NS1</v>
          </cell>
          <cell r="U285"/>
          <cell r="V285" t="str">
            <v>Ground</v>
          </cell>
          <cell r="W285">
            <v>54</v>
          </cell>
          <cell r="X285">
            <v>33</v>
          </cell>
          <cell r="Y285" t="str">
            <v>K/2</v>
          </cell>
          <cell r="Z285">
            <v>3</v>
          </cell>
          <cell r="AA285" t="str">
            <v>Ya</v>
          </cell>
          <cell r="AB285" t="str">
            <v>Ya</v>
          </cell>
          <cell r="AC285" t="str">
            <v>Ya</v>
          </cell>
        </row>
        <row r="286">
          <cell r="B286" t="str">
            <v>50060</v>
          </cell>
          <cell r="C286" t="str">
            <v>Edy Purwanto</v>
          </cell>
          <cell r="D286" t="str">
            <v>Dsn. Sidorogo RT. 01 RW. 06 Trosobo - Taman</v>
          </cell>
          <cell r="E286" t="str">
            <v>Sidoarjo</v>
          </cell>
          <cell r="F286"/>
          <cell r="G286" t="str">
            <v>3515132108730002</v>
          </cell>
          <cell r="H286" t="str">
            <v>0895622197048, 08976456253</v>
          </cell>
          <cell r="I286">
            <v>44933</v>
          </cell>
          <cell r="J286" t="e">
            <v>#VALUE!</v>
          </cell>
          <cell r="K286"/>
          <cell r="L286" t="str">
            <v>Islam</v>
          </cell>
          <cell r="M286" t="str">
            <v>Sidoarjo</v>
          </cell>
          <cell r="N286" t="str">
            <v>Supply Chain</v>
          </cell>
          <cell r="O286" t="str">
            <v>Purchasing</v>
          </cell>
          <cell r="P286" t="str">
            <v>Adm.Equal Foreman</v>
          </cell>
          <cell r="Q286" t="str">
            <v>A3</v>
          </cell>
          <cell r="R286" t="str">
            <v>Shift</v>
          </cell>
          <cell r="S286" t="str">
            <v>Aktif</v>
          </cell>
          <cell r="T286" t="str">
            <v>NS2</v>
          </cell>
          <cell r="U286"/>
          <cell r="V286" t="str">
            <v>IG_PROD</v>
          </cell>
          <cell r="W286">
            <v>52</v>
          </cell>
          <cell r="X286">
            <v>32</v>
          </cell>
          <cell r="Y286" t="str">
            <v>K/1</v>
          </cell>
          <cell r="Z286">
            <v>3</v>
          </cell>
          <cell r="AA286" t="str">
            <v>Ya</v>
          </cell>
          <cell r="AB286" t="str">
            <v>Ya</v>
          </cell>
          <cell r="AC286" t="str">
            <v>Ya</v>
          </cell>
        </row>
        <row r="287">
          <cell r="B287" t="str">
            <v>50068</v>
          </cell>
          <cell r="C287" t="str">
            <v>Nunuk Susiati Riandani</v>
          </cell>
          <cell r="D287" t="str">
            <v>Mutiara Kebonagung Blok E-9 RT.24 RW.07 Kebon Agung  Sukodono</v>
          </cell>
          <cell r="E287" t="str">
            <v>Sidoarjo</v>
          </cell>
          <cell r="F287"/>
          <cell r="G287" t="str">
            <v>3515144903750002</v>
          </cell>
          <cell r="H287" t="str">
            <v>081333081050</v>
          </cell>
          <cell r="I287">
            <v>44933</v>
          </cell>
          <cell r="J287">
            <v>27640</v>
          </cell>
          <cell r="K287"/>
          <cell r="L287" t="str">
            <v>Islam</v>
          </cell>
          <cell r="M287" t="str">
            <v>Sidoarjo</v>
          </cell>
          <cell r="N287" t="str">
            <v>Supply Chain</v>
          </cell>
          <cell r="O287" t="str">
            <v>PPIC</v>
          </cell>
          <cell r="P287" t="str">
            <v>Staf Equal To Spv</v>
          </cell>
          <cell r="Q287" t="str">
            <v>C3</v>
          </cell>
          <cell r="R287" t="str">
            <v>Shift</v>
          </cell>
          <cell r="S287" t="str">
            <v>Aktif</v>
          </cell>
          <cell r="T287" t="str">
            <v>NS2</v>
          </cell>
          <cell r="U287"/>
          <cell r="V287" t="str">
            <v>IG_PROD</v>
          </cell>
          <cell r="W287">
            <v>51</v>
          </cell>
          <cell r="X287">
            <v>32</v>
          </cell>
          <cell r="Y287" t="str">
            <v>T/0</v>
          </cell>
          <cell r="Z287">
            <v>3</v>
          </cell>
          <cell r="AA287" t="str">
            <v>Ya</v>
          </cell>
          <cell r="AB287" t="str">
            <v>Ya</v>
          </cell>
          <cell r="AC287" t="str">
            <v>Ya</v>
          </cell>
        </row>
        <row r="288">
          <cell r="B288" t="str">
            <v>50075</v>
          </cell>
          <cell r="C288" t="str">
            <v>Tutik Yuliati</v>
          </cell>
          <cell r="D288" t="str">
            <v>Perum Graha Permata Sidorejo Indah J / 26 Rt.049 Rw.010 Kel. Sidorejo Kec. Krian</v>
          </cell>
          <cell r="E288" t="str">
            <v>Sidoarjo</v>
          </cell>
          <cell r="F288"/>
          <cell r="G288" t="str">
            <v>3515136209740005</v>
          </cell>
          <cell r="H288" t="str">
            <v>081332514506</v>
          </cell>
          <cell r="I288">
            <v>44933</v>
          </cell>
          <cell r="J288" t="e">
            <v>#VALUE!</v>
          </cell>
          <cell r="K288"/>
          <cell r="L288" t="str">
            <v>Islam</v>
          </cell>
          <cell r="M288" t="str">
            <v>Sidoarjo</v>
          </cell>
          <cell r="N288" t="str">
            <v>Supply Chain</v>
          </cell>
          <cell r="O288" t="str">
            <v>Exim</v>
          </cell>
          <cell r="P288" t="str">
            <v>Kabag.</v>
          </cell>
          <cell r="Q288" t="str">
            <v>III</v>
          </cell>
          <cell r="R288" t="str">
            <v>Shift</v>
          </cell>
          <cell r="S288" t="str">
            <v>Aktif</v>
          </cell>
          <cell r="T288" t="str">
            <v>NS2</v>
          </cell>
          <cell r="U288"/>
          <cell r="V288" t="str">
            <v>IG_PROD</v>
          </cell>
          <cell r="W288">
            <v>51</v>
          </cell>
          <cell r="X288">
            <v>31</v>
          </cell>
          <cell r="Y288" t="str">
            <v>T/0</v>
          </cell>
          <cell r="Z288">
            <v>3</v>
          </cell>
          <cell r="AA288" t="str">
            <v>Ya</v>
          </cell>
          <cell r="AB288" t="str">
            <v>Ya</v>
          </cell>
          <cell r="AC288" t="str">
            <v>Ya</v>
          </cell>
        </row>
        <row r="289">
          <cell r="B289" t="str">
            <v>50078</v>
          </cell>
          <cell r="C289" t="str">
            <v>Ellia</v>
          </cell>
          <cell r="D289" t="str">
            <v>Plumpang RT.16 RW.4 Kel. Penambangn - Kec. Balongbendo</v>
          </cell>
          <cell r="E289" t="str">
            <v>Sidoarjo</v>
          </cell>
          <cell r="F289"/>
          <cell r="G289" t="str">
            <v>3515126007750001</v>
          </cell>
          <cell r="H289" t="str">
            <v>081217435647, 081333902382</v>
          </cell>
          <cell r="I289">
            <v>44933</v>
          </cell>
          <cell r="J289" t="e">
            <v>#VALUE!</v>
          </cell>
          <cell r="K289"/>
          <cell r="L289" t="str">
            <v>Islam</v>
          </cell>
          <cell r="M289" t="str">
            <v>Sidoarjo</v>
          </cell>
          <cell r="N289" t="str">
            <v>Supply Chain</v>
          </cell>
          <cell r="O289" t="str">
            <v>Raw Material Warehouse</v>
          </cell>
          <cell r="P289" t="str">
            <v>Adm.Equal Foreman</v>
          </cell>
          <cell r="Q289" t="str">
            <v>A3</v>
          </cell>
          <cell r="R289" t="str">
            <v>Shift</v>
          </cell>
          <cell r="S289" t="str">
            <v>Aktif</v>
          </cell>
          <cell r="T289" t="str">
            <v>NS1</v>
          </cell>
          <cell r="U289"/>
          <cell r="V289" t="str">
            <v>IG_PROD</v>
          </cell>
          <cell r="W289">
            <v>51</v>
          </cell>
          <cell r="X289">
            <v>31</v>
          </cell>
          <cell r="Y289" t="str">
            <v>T/0</v>
          </cell>
          <cell r="Z289">
            <v>3</v>
          </cell>
          <cell r="AA289" t="str">
            <v>Ya</v>
          </cell>
          <cell r="AB289" t="str">
            <v>Ya</v>
          </cell>
          <cell r="AC289" t="str">
            <v>Ya</v>
          </cell>
        </row>
        <row r="290">
          <cell r="B290" t="str">
            <v>50096</v>
          </cell>
          <cell r="C290" t="str">
            <v>Warsono</v>
          </cell>
          <cell r="D290" t="str">
            <v>Dsn Kandangan RT2 RW 1 Kel.Banjarwungu - Kec. Tarik</v>
          </cell>
          <cell r="E290" t="str">
            <v>Sidoarjo</v>
          </cell>
          <cell r="F290"/>
          <cell r="G290" t="str">
            <v>3515010906780001</v>
          </cell>
          <cell r="H290" t="str">
            <v>08563170832</v>
          </cell>
          <cell r="I290">
            <v>44933</v>
          </cell>
          <cell r="J290">
            <v>28739</v>
          </cell>
          <cell r="K290"/>
          <cell r="L290" t="str">
            <v>Islam</v>
          </cell>
          <cell r="M290" t="str">
            <v>Sidoarjo</v>
          </cell>
          <cell r="N290" t="str">
            <v>Supply Chain</v>
          </cell>
          <cell r="O290" t="str">
            <v>Finished Good Warehouse</v>
          </cell>
          <cell r="P290" t="str">
            <v>Pelaksana</v>
          </cell>
          <cell r="Q290" t="str">
            <v>A1</v>
          </cell>
          <cell r="R290" t="str">
            <v>Shift</v>
          </cell>
          <cell r="S290" t="str">
            <v>Aktif</v>
          </cell>
          <cell r="T290" t="str">
            <v>NS2</v>
          </cell>
          <cell r="U290"/>
          <cell r="V290" t="str">
            <v>Instant</v>
          </cell>
          <cell r="W290">
            <v>48</v>
          </cell>
          <cell r="X290">
            <v>30</v>
          </cell>
          <cell r="Y290" t="str">
            <v>K/2</v>
          </cell>
          <cell r="Z290">
            <v>3</v>
          </cell>
          <cell r="AA290" t="str">
            <v>Ya</v>
          </cell>
          <cell r="AB290" t="str">
            <v>Ya</v>
          </cell>
          <cell r="AC290" t="str">
            <v>Ya</v>
          </cell>
        </row>
        <row r="291">
          <cell r="B291" t="str">
            <v>50130</v>
          </cell>
          <cell r="C291" t="str">
            <v>Iswanto</v>
          </cell>
          <cell r="D291" t="str">
            <v>Dsn. Maduretno RT.16 RW.04 Pertapan maduretno - Taman</v>
          </cell>
          <cell r="E291" t="str">
            <v>Sidoarjo</v>
          </cell>
          <cell r="F291"/>
          <cell r="G291" t="str">
            <v>3515132803790003</v>
          </cell>
          <cell r="H291" t="str">
            <v>085746315743</v>
          </cell>
          <cell r="I291">
            <v>44933</v>
          </cell>
          <cell r="J291" t="e">
            <v>#VALUE!</v>
          </cell>
          <cell r="K291"/>
          <cell r="L291" t="str">
            <v>Islam</v>
          </cell>
          <cell r="M291" t="str">
            <v>Sidoarjo</v>
          </cell>
          <cell r="N291" t="str">
            <v>Supply Chain</v>
          </cell>
          <cell r="O291" t="str">
            <v>Raw Material Warehouse</v>
          </cell>
          <cell r="P291" t="str">
            <v>Pelaksana</v>
          </cell>
          <cell r="Q291" t="str">
            <v>A2</v>
          </cell>
          <cell r="R291" t="str">
            <v>Grup Shift</v>
          </cell>
          <cell r="S291" t="str">
            <v>Aktif</v>
          </cell>
          <cell r="T291"/>
          <cell r="U291" t="str">
            <v>GRMB240526</v>
          </cell>
          <cell r="V291" t="str">
            <v>IG_PROD</v>
          </cell>
          <cell r="W291">
            <v>47</v>
          </cell>
          <cell r="X291">
            <v>29</v>
          </cell>
          <cell r="Y291" t="str">
            <v>K/0</v>
          </cell>
          <cell r="Z291">
            <v>3</v>
          </cell>
          <cell r="AA291" t="str">
            <v>Ya</v>
          </cell>
          <cell r="AB291" t="str">
            <v>Ya</v>
          </cell>
          <cell r="AC291" t="str">
            <v>Ya</v>
          </cell>
        </row>
        <row r="292">
          <cell r="B292" t="str">
            <v>50165</v>
          </cell>
          <cell r="C292" t="str">
            <v>Winoto</v>
          </cell>
          <cell r="D292" t="str">
            <v>Dsn. Patar Lor RT.08 RW.02 Ngaresrejo - Sukodono</v>
          </cell>
          <cell r="E292" t="str">
            <v>Sidoarjo</v>
          </cell>
          <cell r="F292"/>
          <cell r="G292" t="str">
            <v>3515140605780004</v>
          </cell>
          <cell r="H292" t="str">
            <v>085755659412</v>
          </cell>
          <cell r="I292">
            <v>44933</v>
          </cell>
          <cell r="J292">
            <v>28646</v>
          </cell>
          <cell r="K292"/>
          <cell r="L292" t="str">
            <v>Islam</v>
          </cell>
          <cell r="M292" t="str">
            <v>Sidoarjo</v>
          </cell>
          <cell r="N292" t="str">
            <v>Supply Chain</v>
          </cell>
          <cell r="O292" t="str">
            <v>Finished Good Warehouse</v>
          </cell>
          <cell r="P292" t="str">
            <v>Pelaksana</v>
          </cell>
          <cell r="Q292" t="str">
            <v>A1</v>
          </cell>
          <cell r="R292" t="str">
            <v>Grup Shift</v>
          </cell>
          <cell r="S292" t="str">
            <v>Aktif</v>
          </cell>
          <cell r="T292"/>
          <cell r="U292" t="str">
            <v>GJD240526</v>
          </cell>
          <cell r="V292" t="str">
            <v>Instant</v>
          </cell>
          <cell r="W292">
            <v>48</v>
          </cell>
          <cell r="X292">
            <v>29</v>
          </cell>
          <cell r="Y292" t="str">
            <v>K/1</v>
          </cell>
          <cell r="Z292">
            <v>3</v>
          </cell>
          <cell r="AA292" t="str">
            <v>Ya</v>
          </cell>
          <cell r="AB292" t="str">
            <v>Ya</v>
          </cell>
          <cell r="AC292" t="str">
            <v>Ya</v>
          </cell>
        </row>
        <row r="293">
          <cell r="B293" t="str">
            <v>50166</v>
          </cell>
          <cell r="C293" t="str">
            <v>Nur Salim</v>
          </cell>
          <cell r="D293" t="str">
            <v>Ds.Trosobo RT.02 RW.07 Trosobo - Taman</v>
          </cell>
          <cell r="E293" t="str">
            <v>Sidoarjo</v>
          </cell>
          <cell r="F293"/>
          <cell r="G293" t="str">
            <v>3515131212750005</v>
          </cell>
          <cell r="H293" t="str">
            <v>0881036822028, 085731477095</v>
          </cell>
          <cell r="I293">
            <v>44933</v>
          </cell>
          <cell r="J293">
            <v>27740</v>
          </cell>
          <cell r="K293"/>
          <cell r="L293" t="str">
            <v>Islam</v>
          </cell>
          <cell r="M293" t="str">
            <v>Sidoarjo</v>
          </cell>
          <cell r="N293" t="str">
            <v>Supply Chain</v>
          </cell>
          <cell r="O293" t="str">
            <v>Raw Material Warehouse</v>
          </cell>
          <cell r="P293" t="str">
            <v>Pelaksana</v>
          </cell>
          <cell r="Q293" t="str">
            <v>A2</v>
          </cell>
          <cell r="R293" t="str">
            <v>Grup Shift</v>
          </cell>
          <cell r="S293" t="str">
            <v>Aktif</v>
          </cell>
          <cell r="T293"/>
          <cell r="U293" t="str">
            <v>GRMA240526</v>
          </cell>
          <cell r="V293" t="str">
            <v>IG_PROD</v>
          </cell>
          <cell r="W293">
            <v>50</v>
          </cell>
          <cell r="X293">
            <v>29</v>
          </cell>
          <cell r="Y293" t="str">
            <v>K/2</v>
          </cell>
          <cell r="Z293">
            <v>3</v>
          </cell>
          <cell r="AA293" t="str">
            <v>Ya</v>
          </cell>
          <cell r="AB293" t="str">
            <v>Ya</v>
          </cell>
          <cell r="AC293" t="str">
            <v>Ya</v>
          </cell>
        </row>
        <row r="294">
          <cell r="B294" t="str">
            <v>50205</v>
          </cell>
          <cell r="C294" t="str">
            <v>Khoiron Asyhari</v>
          </cell>
          <cell r="D294" t="str">
            <v>Sobowidoro RT.02-RW.07 Kelurahan Trosobo Taman</v>
          </cell>
          <cell r="E294" t="str">
            <v>Sidoarjo</v>
          </cell>
          <cell r="F294"/>
          <cell r="G294" t="str">
            <v>3517190306750002</v>
          </cell>
          <cell r="H294" t="str">
            <v>081330667303</v>
          </cell>
          <cell r="I294">
            <v>44933</v>
          </cell>
          <cell r="J294">
            <v>27459</v>
          </cell>
          <cell r="K294"/>
          <cell r="L294" t="str">
            <v>Islam</v>
          </cell>
          <cell r="M294" t="str">
            <v>Sidoarjo</v>
          </cell>
          <cell r="N294" t="str">
            <v>Supply Chain</v>
          </cell>
          <cell r="O294" t="str">
            <v>Finished Good Warehouse</v>
          </cell>
          <cell r="P294" t="str">
            <v>Pelaksana</v>
          </cell>
          <cell r="Q294" t="str">
            <v>A3</v>
          </cell>
          <cell r="R294" t="str">
            <v>Grup Shift</v>
          </cell>
          <cell r="S294" t="str">
            <v>Aktif</v>
          </cell>
          <cell r="T294"/>
          <cell r="U294" t="str">
            <v>GJC240526</v>
          </cell>
          <cell r="V294" t="str">
            <v>Instant</v>
          </cell>
          <cell r="W294">
            <v>51</v>
          </cell>
          <cell r="X294">
            <v>29</v>
          </cell>
          <cell r="Y294" t="str">
            <v>K/1</v>
          </cell>
          <cell r="Z294">
            <v>3</v>
          </cell>
          <cell r="AA294" t="str">
            <v>Ya</v>
          </cell>
          <cell r="AB294" t="str">
            <v>Ya</v>
          </cell>
          <cell r="AC294" t="str">
            <v>Ya</v>
          </cell>
        </row>
        <row r="295">
          <cell r="B295" t="str">
            <v>50265</v>
          </cell>
          <cell r="C295" t="str">
            <v>Saikul Maarif</v>
          </cell>
          <cell r="D295" t="str">
            <v>Perum. Bamasland Regensi No.2 Terung Wetan Krian</v>
          </cell>
          <cell r="E295" t="str">
            <v>Sidoarjo</v>
          </cell>
          <cell r="F295"/>
          <cell r="G295" t="str">
            <v>3515101405710005</v>
          </cell>
          <cell r="H295" t="str">
            <v>085807473928</v>
          </cell>
          <cell r="I295">
            <v>44933</v>
          </cell>
          <cell r="J295" t="e">
            <v>#VALUE!</v>
          </cell>
          <cell r="K295"/>
          <cell r="L295" t="str">
            <v>Islam</v>
          </cell>
          <cell r="M295" t="str">
            <v>Sidoarjo</v>
          </cell>
          <cell r="N295" t="str">
            <v>Supply Chain</v>
          </cell>
          <cell r="O295" t="str">
            <v>Finished Good Warehouse</v>
          </cell>
          <cell r="P295" t="str">
            <v>Pelaksana</v>
          </cell>
          <cell r="Q295" t="str">
            <v>A1</v>
          </cell>
          <cell r="R295" t="str">
            <v>Grup Shift</v>
          </cell>
          <cell r="S295" t="str">
            <v>Aktif</v>
          </cell>
          <cell r="T295"/>
          <cell r="U295" t="str">
            <v>GJC240526</v>
          </cell>
          <cell r="V295" t="str">
            <v>Instant</v>
          </cell>
          <cell r="W295">
            <v>55</v>
          </cell>
          <cell r="X295">
            <v>29</v>
          </cell>
          <cell r="Y295" t="str">
            <v>K/1</v>
          </cell>
          <cell r="Z295">
            <v>3</v>
          </cell>
          <cell r="AA295" t="str">
            <v>Ya</v>
          </cell>
          <cell r="AB295" t="str">
            <v>Ya</v>
          </cell>
          <cell r="AC295" t="str">
            <v>Ya</v>
          </cell>
        </row>
        <row r="296">
          <cell r="B296" t="str">
            <v>50279</v>
          </cell>
          <cell r="C296" t="str">
            <v>R. Ervan Krisbianto</v>
          </cell>
          <cell r="D296" t="str">
            <v>Perumtas V Blok F 11/20 RT. 03 RW. 03 Ds. Bendotretek - Prambon</v>
          </cell>
          <cell r="E296" t="str">
            <v>Sidoarjo</v>
          </cell>
          <cell r="F296"/>
          <cell r="G296" t="str">
            <v>3515011804700004</v>
          </cell>
          <cell r="H296" t="str">
            <v>081235973761</v>
          </cell>
          <cell r="I296">
            <v>44933</v>
          </cell>
          <cell r="J296" t="e">
            <v>#VALUE!</v>
          </cell>
          <cell r="K296"/>
          <cell r="L296" t="str">
            <v>Islam</v>
          </cell>
          <cell r="M296" t="str">
            <v>Sidoarjo</v>
          </cell>
          <cell r="N296" t="str">
            <v>Supply Chain</v>
          </cell>
          <cell r="O296" t="str">
            <v>Forklift</v>
          </cell>
          <cell r="P296" t="str">
            <v>Operator</v>
          </cell>
          <cell r="Q296" t="str">
            <v>A3</v>
          </cell>
          <cell r="R296" t="str">
            <v>Grup Shift</v>
          </cell>
          <cell r="S296" t="str">
            <v>Aktif</v>
          </cell>
          <cell r="T296"/>
          <cell r="U296" t="str">
            <v>REF240526</v>
          </cell>
          <cell r="V296" t="str">
            <v>Instant</v>
          </cell>
          <cell r="W296">
            <v>56</v>
          </cell>
          <cell r="X296">
            <v>29</v>
          </cell>
          <cell r="Y296" t="str">
            <v>K/1</v>
          </cell>
          <cell r="Z296">
            <v>3</v>
          </cell>
          <cell r="AA296" t="str">
            <v>Ya</v>
          </cell>
          <cell r="AB296" t="str">
            <v>Ya</v>
          </cell>
          <cell r="AC296" t="str">
            <v>Ya</v>
          </cell>
        </row>
        <row r="297">
          <cell r="B297" t="str">
            <v>50334</v>
          </cell>
          <cell r="C297" t="str">
            <v>Suliono</v>
          </cell>
          <cell r="D297" t="str">
            <v>Banjarpertapan Rt.06 Rw.05 Ds. Pertapan maduretno, Taman</v>
          </cell>
          <cell r="E297" t="str">
            <v>Sidoarjo</v>
          </cell>
          <cell r="F297"/>
          <cell r="G297" t="str">
            <v>3515111710760004</v>
          </cell>
          <cell r="H297" t="str">
            <v>085101385140</v>
          </cell>
          <cell r="I297">
            <v>44933</v>
          </cell>
          <cell r="J297" t="e">
            <v>#VALUE!</v>
          </cell>
          <cell r="K297"/>
          <cell r="L297" t="str">
            <v>Islam</v>
          </cell>
          <cell r="M297" t="str">
            <v>Sidoarjo</v>
          </cell>
          <cell r="N297" t="str">
            <v>Supply Chain</v>
          </cell>
          <cell r="O297" t="str">
            <v>Forklift</v>
          </cell>
          <cell r="P297" t="str">
            <v>Operator</v>
          </cell>
          <cell r="Q297" t="str">
            <v>A2</v>
          </cell>
          <cell r="R297" t="str">
            <v>Grup Shift</v>
          </cell>
          <cell r="S297" t="str">
            <v>Aktif</v>
          </cell>
          <cell r="T297"/>
          <cell r="U297" t="str">
            <v>SUF240526</v>
          </cell>
          <cell r="V297" t="str">
            <v>Instant</v>
          </cell>
          <cell r="W297">
            <v>49</v>
          </cell>
          <cell r="X297">
            <v>29</v>
          </cell>
          <cell r="Y297" t="str">
            <v>K/0</v>
          </cell>
          <cell r="Z297">
            <v>3</v>
          </cell>
          <cell r="AA297" t="str">
            <v>Ya</v>
          </cell>
          <cell r="AB297" t="str">
            <v>Ya</v>
          </cell>
          <cell r="AC297" t="str">
            <v>Ya</v>
          </cell>
        </row>
        <row r="298">
          <cell r="B298" t="str">
            <v>50340</v>
          </cell>
          <cell r="C298" t="str">
            <v>Ngateman</v>
          </cell>
          <cell r="D298" t="str">
            <v>Dsn.Kandangan RT3 RW1 Kel.Banjarwungu-Kec.Tarik</v>
          </cell>
          <cell r="E298" t="str">
            <v>Sidoarjo</v>
          </cell>
          <cell r="F298"/>
          <cell r="G298" t="str">
            <v>3515011706720001</v>
          </cell>
          <cell r="H298" t="str">
            <v>085731541330</v>
          </cell>
          <cell r="I298">
            <v>44933</v>
          </cell>
          <cell r="J298" t="e">
            <v>#VALUE!</v>
          </cell>
          <cell r="K298"/>
          <cell r="L298" t="str">
            <v>Islam</v>
          </cell>
          <cell r="M298" t="str">
            <v>Sidoarjo</v>
          </cell>
          <cell r="N298" t="str">
            <v>Supply Chain</v>
          </cell>
          <cell r="O298" t="str">
            <v>Forklift</v>
          </cell>
          <cell r="P298" t="str">
            <v>Operator</v>
          </cell>
          <cell r="Q298" t="str">
            <v>A2</v>
          </cell>
          <cell r="R298" t="str">
            <v>Grup Shift</v>
          </cell>
          <cell r="S298" t="str">
            <v>Aktif</v>
          </cell>
          <cell r="T298"/>
          <cell r="U298" t="str">
            <v>MAF240526</v>
          </cell>
          <cell r="V298" t="str">
            <v>Instant</v>
          </cell>
          <cell r="W298">
            <v>54</v>
          </cell>
          <cell r="X298">
            <v>29</v>
          </cell>
          <cell r="Y298" t="str">
            <v>K/0</v>
          </cell>
          <cell r="Z298">
            <v>3</v>
          </cell>
          <cell r="AA298" t="str">
            <v>Ya</v>
          </cell>
          <cell r="AB298" t="str">
            <v>Ya</v>
          </cell>
          <cell r="AC298" t="str">
            <v>Ya</v>
          </cell>
        </row>
        <row r="299">
          <cell r="B299" t="str">
            <v>50370</v>
          </cell>
          <cell r="C299" t="str">
            <v>Hary Pujianto</v>
          </cell>
          <cell r="D299" t="str">
            <v>Sedenganmijen RT.10 RW.04 Sedenganmijen - Krian</v>
          </cell>
          <cell r="E299" t="str">
            <v>Sidoarjo</v>
          </cell>
          <cell r="F299"/>
          <cell r="G299" t="str">
            <v>3515111004760002</v>
          </cell>
          <cell r="H299" t="str">
            <v>0895364724476</v>
          </cell>
          <cell r="I299">
            <v>44933</v>
          </cell>
          <cell r="J299">
            <v>28037</v>
          </cell>
          <cell r="K299"/>
          <cell r="L299" t="str">
            <v>Islam</v>
          </cell>
          <cell r="M299" t="str">
            <v>Sidoarjo</v>
          </cell>
          <cell r="N299" t="str">
            <v>Supply Chain</v>
          </cell>
          <cell r="O299" t="str">
            <v>Finished Good Warehouse</v>
          </cell>
          <cell r="P299" t="str">
            <v>Pelaksana</v>
          </cell>
          <cell r="Q299" t="str">
            <v>A1</v>
          </cell>
          <cell r="R299" t="str">
            <v>Shift</v>
          </cell>
          <cell r="S299" t="str">
            <v>Aktif</v>
          </cell>
          <cell r="T299" t="str">
            <v>NS2</v>
          </cell>
          <cell r="U299"/>
          <cell r="V299" t="str">
            <v>Instant</v>
          </cell>
          <cell r="W299">
            <v>50</v>
          </cell>
          <cell r="X299">
            <v>29</v>
          </cell>
          <cell r="Y299" t="str">
            <v>K/1</v>
          </cell>
          <cell r="Z299">
            <v>3</v>
          </cell>
          <cell r="AA299" t="str">
            <v>Ya</v>
          </cell>
          <cell r="AB299" t="str">
            <v>Ya</v>
          </cell>
          <cell r="AC299" t="str">
            <v>Ya</v>
          </cell>
        </row>
        <row r="300">
          <cell r="B300" t="str">
            <v>50387</v>
          </cell>
          <cell r="C300" t="str">
            <v>Mahpudi</v>
          </cell>
          <cell r="D300" t="str">
            <v>Jln.Bibis Barat  RT.05 RW.02 Tambbakkemerakan - Krian</v>
          </cell>
          <cell r="E300" t="str">
            <v>Sidoarjo</v>
          </cell>
          <cell r="F300"/>
          <cell r="G300" t="str">
            <v>3515110409740002</v>
          </cell>
          <cell r="H300" t="str">
            <v>085735851643</v>
          </cell>
          <cell r="I300">
            <v>44933</v>
          </cell>
          <cell r="J300">
            <v>27128</v>
          </cell>
          <cell r="K300"/>
          <cell r="L300" t="str">
            <v>Islam</v>
          </cell>
          <cell r="M300" t="str">
            <v>Sidoarjo</v>
          </cell>
          <cell r="N300" t="str">
            <v>Supply Chain</v>
          </cell>
          <cell r="O300" t="str">
            <v>Forklift</v>
          </cell>
          <cell r="P300" t="str">
            <v>Operator</v>
          </cell>
          <cell r="Q300" t="str">
            <v>A3</v>
          </cell>
          <cell r="R300" t="str">
            <v>Grup Shift</v>
          </cell>
          <cell r="S300" t="str">
            <v>Aktif</v>
          </cell>
          <cell r="T300"/>
          <cell r="U300" t="str">
            <v>NGF240526</v>
          </cell>
          <cell r="V300" t="str">
            <v>Instant</v>
          </cell>
          <cell r="W300">
            <v>51</v>
          </cell>
          <cell r="X300">
            <v>29</v>
          </cell>
          <cell r="Y300" t="str">
            <v>K/2</v>
          </cell>
          <cell r="Z300">
            <v>3</v>
          </cell>
          <cell r="AA300" t="str">
            <v>Ya</v>
          </cell>
          <cell r="AB300" t="str">
            <v>Ya</v>
          </cell>
          <cell r="AC300" t="str">
            <v>Ya</v>
          </cell>
        </row>
        <row r="301">
          <cell r="B301" t="str">
            <v>50388</v>
          </cell>
          <cell r="C301" t="str">
            <v>Riyadi Santosa</v>
          </cell>
          <cell r="D301" t="str">
            <v>Wonokerto Lor RT.05 RW.01  Wonoplintahan, Prambon</v>
          </cell>
          <cell r="E301" t="str">
            <v>Sidoarjo</v>
          </cell>
          <cell r="F301"/>
          <cell r="G301" t="str">
            <v>3515022010710002</v>
          </cell>
          <cell r="H301" t="str">
            <v>085259395433</v>
          </cell>
          <cell r="I301">
            <v>44933</v>
          </cell>
          <cell r="J301" t="e">
            <v>#VALUE!</v>
          </cell>
          <cell r="K301"/>
          <cell r="L301" t="str">
            <v>Islam</v>
          </cell>
          <cell r="M301" t="str">
            <v>Sidoarjo</v>
          </cell>
          <cell r="N301" t="str">
            <v>Supply Chain</v>
          </cell>
          <cell r="O301" t="str">
            <v>Finished Good Warehouse</v>
          </cell>
          <cell r="P301" t="str">
            <v>Supervisor</v>
          </cell>
          <cell r="Q301" t="str">
            <v>C3</v>
          </cell>
          <cell r="R301" t="str">
            <v>Shift</v>
          </cell>
          <cell r="S301" t="str">
            <v>Aktif</v>
          </cell>
          <cell r="T301" t="str">
            <v>NS1</v>
          </cell>
          <cell r="U301"/>
          <cell r="V301" t="str">
            <v>Instant</v>
          </cell>
          <cell r="W301">
            <v>54</v>
          </cell>
          <cell r="X301">
            <v>29</v>
          </cell>
          <cell r="Y301" t="str">
            <v>K/1</v>
          </cell>
          <cell r="Z301">
            <v>3</v>
          </cell>
          <cell r="AA301" t="str">
            <v>Ya</v>
          </cell>
          <cell r="AB301" t="str">
            <v>Ya</v>
          </cell>
          <cell r="AC301" t="str">
            <v>Ya</v>
          </cell>
        </row>
        <row r="302">
          <cell r="B302" t="str">
            <v>50402</v>
          </cell>
          <cell r="C302" t="str">
            <v>Sutaib</v>
          </cell>
          <cell r="D302" t="str">
            <v>Dsn. Bandung Wetan RT.02 RW.03 Bandung - Gedek</v>
          </cell>
          <cell r="E302" t="str">
            <v>Mojokerto</v>
          </cell>
          <cell r="F302"/>
          <cell r="G302" t="str">
            <v>3516141805710002</v>
          </cell>
          <cell r="H302" t="str">
            <v>085645002018</v>
          </cell>
          <cell r="I302">
            <v>44933</v>
          </cell>
          <cell r="J302" t="e">
            <v>#VALUE!</v>
          </cell>
          <cell r="K302"/>
          <cell r="L302" t="str">
            <v>Islam</v>
          </cell>
          <cell r="M302" t="str">
            <v>Sidoarjo</v>
          </cell>
          <cell r="N302" t="str">
            <v>Supply Chain</v>
          </cell>
          <cell r="O302" t="str">
            <v>Supporting Material Warehouse</v>
          </cell>
          <cell r="P302" t="str">
            <v>Kepala Regu</v>
          </cell>
          <cell r="Q302" t="str">
            <v>A2</v>
          </cell>
          <cell r="R302" t="str">
            <v>Shift</v>
          </cell>
          <cell r="S302" t="str">
            <v>Aktif</v>
          </cell>
          <cell r="T302" t="str">
            <v>NS1</v>
          </cell>
          <cell r="U302"/>
          <cell r="V302" t="str">
            <v>Ground</v>
          </cell>
          <cell r="W302">
            <v>55</v>
          </cell>
          <cell r="X302">
            <v>29</v>
          </cell>
          <cell r="Y302" t="str">
            <v>K/1</v>
          </cell>
          <cell r="Z302">
            <v>3</v>
          </cell>
          <cell r="AA302" t="str">
            <v>Ya</v>
          </cell>
          <cell r="AB302" t="str">
            <v>Ya</v>
          </cell>
          <cell r="AC302" t="str">
            <v>Ya</v>
          </cell>
        </row>
        <row r="303">
          <cell r="B303" t="str">
            <v>50403</v>
          </cell>
          <cell r="C303" t="str">
            <v>Mukhamad Kusairi</v>
          </cell>
          <cell r="D303" t="str">
            <v>Dsn.Tanggul Kulon RT.002. RW.001 Tanggul, Wonoayu</v>
          </cell>
          <cell r="E303" t="str">
            <v>Sidoarjo</v>
          </cell>
          <cell r="F303"/>
          <cell r="G303" t="str">
            <v>3515102409760002</v>
          </cell>
          <cell r="H303" t="str">
            <v>08589197568</v>
          </cell>
          <cell r="I303">
            <v>44933</v>
          </cell>
          <cell r="J303" t="e">
            <v>#VALUE!</v>
          </cell>
          <cell r="K303"/>
          <cell r="L303" t="str">
            <v>Islam</v>
          </cell>
          <cell r="M303" t="str">
            <v>Sidoarjo</v>
          </cell>
          <cell r="N303" t="str">
            <v>Supply Chain</v>
          </cell>
          <cell r="O303" t="str">
            <v>Finished Good Warehouse</v>
          </cell>
          <cell r="P303" t="str">
            <v>Pelaksana</v>
          </cell>
          <cell r="Q303" t="str">
            <v>A1</v>
          </cell>
          <cell r="R303" t="str">
            <v>Grup Shift</v>
          </cell>
          <cell r="S303" t="str">
            <v>Aktif</v>
          </cell>
          <cell r="T303"/>
          <cell r="U303" t="str">
            <v>GJA240526</v>
          </cell>
          <cell r="V303" t="str">
            <v>Instant</v>
          </cell>
          <cell r="W303">
            <v>49</v>
          </cell>
          <cell r="X303">
            <v>29</v>
          </cell>
          <cell r="Y303" t="str">
            <v>K/2</v>
          </cell>
          <cell r="Z303">
            <v>3</v>
          </cell>
          <cell r="AA303" t="str">
            <v>Ya</v>
          </cell>
          <cell r="AB303" t="str">
            <v>Ya</v>
          </cell>
          <cell r="AC303" t="str">
            <v>Ya</v>
          </cell>
        </row>
        <row r="304">
          <cell r="B304" t="str">
            <v>50424</v>
          </cell>
          <cell r="C304" t="str">
            <v>Riadi</v>
          </cell>
          <cell r="D304" t="str">
            <v>Dsn.Junwatu RT.03 RT.01 Junwangi-Krian</v>
          </cell>
          <cell r="E304" t="str">
            <v>Sidoarjo</v>
          </cell>
          <cell r="F304"/>
          <cell r="G304" t="str">
            <v>3515112211700004</v>
          </cell>
          <cell r="H304" t="str">
            <v>085706664495</v>
          </cell>
          <cell r="I304">
            <v>44933</v>
          </cell>
          <cell r="J304" t="e">
            <v>#VALUE!</v>
          </cell>
          <cell r="K304"/>
          <cell r="L304" t="str">
            <v>Islam</v>
          </cell>
          <cell r="M304" t="str">
            <v>Sidoarjo</v>
          </cell>
          <cell r="N304" t="str">
            <v>Supply Chain</v>
          </cell>
          <cell r="O304" t="str">
            <v>Gudang teknik</v>
          </cell>
          <cell r="P304" t="str">
            <v>Pelaksana</v>
          </cell>
          <cell r="Q304" t="str">
            <v>A2</v>
          </cell>
          <cell r="R304" t="str">
            <v>Grup Shift</v>
          </cell>
          <cell r="S304" t="str">
            <v>Aktif</v>
          </cell>
          <cell r="T304"/>
          <cell r="U304" t="str">
            <v>GRMA240526</v>
          </cell>
          <cell r="V304" t="str">
            <v>IG_PROD</v>
          </cell>
          <cell r="W304">
            <v>55</v>
          </cell>
          <cell r="X304">
            <v>29</v>
          </cell>
          <cell r="Y304" t="str">
            <v>K/0</v>
          </cell>
          <cell r="Z304">
            <v>3</v>
          </cell>
          <cell r="AA304" t="str">
            <v>Ya</v>
          </cell>
          <cell r="AB304" t="str">
            <v>Ya</v>
          </cell>
          <cell r="AC304" t="str">
            <v>Ya</v>
          </cell>
        </row>
        <row r="305">
          <cell r="B305" t="str">
            <v>50463</v>
          </cell>
          <cell r="C305" t="str">
            <v>Slamet Nurdin</v>
          </cell>
          <cell r="D305" t="str">
            <v>Karangbong RT5 RW 1 Kel.Karangbong-Kec.Gedangan</v>
          </cell>
          <cell r="E305" t="str">
            <v>Sidoarjo</v>
          </cell>
          <cell r="F305"/>
          <cell r="G305" t="str">
            <v>3515160205730010</v>
          </cell>
          <cell r="H305" t="str">
            <v>081331296988</v>
          </cell>
          <cell r="I305">
            <v>44933</v>
          </cell>
          <cell r="J305">
            <v>26700</v>
          </cell>
          <cell r="K305"/>
          <cell r="L305" t="str">
            <v>Islam</v>
          </cell>
          <cell r="M305" t="str">
            <v>Sidoarjo</v>
          </cell>
          <cell r="N305" t="str">
            <v>Supply Chain</v>
          </cell>
          <cell r="O305" t="str">
            <v>Forklift</v>
          </cell>
          <cell r="P305" t="str">
            <v>Operator</v>
          </cell>
          <cell r="Q305" t="str">
            <v>A3</v>
          </cell>
          <cell r="R305" t="str">
            <v>Grup Shift</v>
          </cell>
          <cell r="S305" t="str">
            <v>Aktif</v>
          </cell>
          <cell r="T305"/>
          <cell r="U305" t="str">
            <v>NUF240526</v>
          </cell>
          <cell r="V305" t="str">
            <v>Instant</v>
          </cell>
          <cell r="W305">
            <v>53</v>
          </cell>
          <cell r="X305">
            <v>28</v>
          </cell>
          <cell r="Y305" t="str">
            <v>K/2</v>
          </cell>
          <cell r="Z305">
            <v>3</v>
          </cell>
          <cell r="AA305" t="str">
            <v>Ya</v>
          </cell>
          <cell r="AB305" t="str">
            <v>Ya</v>
          </cell>
          <cell r="AC305" t="str">
            <v>Ya</v>
          </cell>
        </row>
        <row r="306">
          <cell r="B306" t="str">
            <v>50488</v>
          </cell>
          <cell r="C306" t="str">
            <v>Siswoyo</v>
          </cell>
          <cell r="D306" t="str">
            <v>Dsn.Junwatu RT.03 RW.01 Junwangi - Krian</v>
          </cell>
          <cell r="E306" t="str">
            <v>Sidoarjo</v>
          </cell>
          <cell r="F306"/>
          <cell r="G306" t="str">
            <v>3515110101700041</v>
          </cell>
          <cell r="H306" t="str">
            <v>087866946043</v>
          </cell>
          <cell r="I306">
            <v>44933</v>
          </cell>
          <cell r="J306">
            <v>25569</v>
          </cell>
          <cell r="K306"/>
          <cell r="L306" t="str">
            <v>Islam</v>
          </cell>
          <cell r="M306" t="str">
            <v>Sidoarjo</v>
          </cell>
          <cell r="N306" t="str">
            <v>Supply Chain</v>
          </cell>
          <cell r="O306" t="str">
            <v>Finished Good Warehouse</v>
          </cell>
          <cell r="P306" t="str">
            <v>Pelaksana</v>
          </cell>
          <cell r="Q306" t="str">
            <v>A1</v>
          </cell>
          <cell r="R306" t="str">
            <v>Grup Shift</v>
          </cell>
          <cell r="S306" t="str">
            <v>Aktif</v>
          </cell>
          <cell r="T306"/>
          <cell r="U306" t="str">
            <v>GJB240526</v>
          </cell>
          <cell r="V306" t="str">
            <v>Instant</v>
          </cell>
          <cell r="W306">
            <v>56</v>
          </cell>
          <cell r="X306">
            <v>28</v>
          </cell>
          <cell r="Y306" t="str">
            <v>K/0</v>
          </cell>
          <cell r="Z306">
            <v>3</v>
          </cell>
          <cell r="AA306" t="str">
            <v>Ya</v>
          </cell>
          <cell r="AB306" t="str">
            <v>Ya</v>
          </cell>
          <cell r="AC306" t="str">
            <v>Ya</v>
          </cell>
        </row>
        <row r="307">
          <cell r="B307" t="str">
            <v>50489</v>
          </cell>
          <cell r="C307" t="str">
            <v>Totok Dwi Suhermanto</v>
          </cell>
          <cell r="D307" t="str">
            <v>Graha Permata P-21 RT.51 RW.10 Sidorejo  Krian</v>
          </cell>
          <cell r="E307" t="str">
            <v>Sidoarjo</v>
          </cell>
          <cell r="F307"/>
          <cell r="G307" t="str">
            <v>3515110803780003</v>
          </cell>
          <cell r="H307" t="str">
            <v>085648023709</v>
          </cell>
          <cell r="I307">
            <v>44933</v>
          </cell>
          <cell r="J307">
            <v>28705</v>
          </cell>
          <cell r="K307"/>
          <cell r="L307" t="str">
            <v>Kristen Protestan</v>
          </cell>
          <cell r="M307" t="str">
            <v>Sidoarjo</v>
          </cell>
          <cell r="N307" t="str">
            <v>Supply Chain</v>
          </cell>
          <cell r="O307" t="str">
            <v>Raw Material Warehouse</v>
          </cell>
          <cell r="P307" t="str">
            <v>Supervisor</v>
          </cell>
          <cell r="Q307" t="str">
            <v>C2</v>
          </cell>
          <cell r="R307" t="str">
            <v>Grup Shift</v>
          </cell>
          <cell r="S307" t="str">
            <v>Aktif</v>
          </cell>
          <cell r="T307"/>
          <cell r="U307" t="str">
            <v>GDB240526</v>
          </cell>
          <cell r="V307" t="str">
            <v>IG_PROD</v>
          </cell>
          <cell r="W307">
            <v>48</v>
          </cell>
          <cell r="X307">
            <v>28</v>
          </cell>
          <cell r="Y307" t="str">
            <v>K/0</v>
          </cell>
          <cell r="Z307">
            <v>3</v>
          </cell>
          <cell r="AA307" t="str">
            <v>Ya</v>
          </cell>
          <cell r="AB307" t="str">
            <v>Ya</v>
          </cell>
          <cell r="AC307" t="str">
            <v>Ya</v>
          </cell>
        </row>
        <row r="308">
          <cell r="B308" t="str">
            <v>50491</v>
          </cell>
          <cell r="C308" t="str">
            <v>Supriadi</v>
          </cell>
          <cell r="D308" t="str">
            <v>Sawo RT 04 RW 01 Ds. Sawocangkring Kec. Wonoayu</v>
          </cell>
          <cell r="E308" t="str">
            <v>Sidoarjo</v>
          </cell>
          <cell r="F308"/>
          <cell r="G308" t="str">
            <v>3515101608780003</v>
          </cell>
          <cell r="H308" t="str">
            <v>085731199637</v>
          </cell>
          <cell r="I308">
            <v>44933</v>
          </cell>
          <cell r="J308" t="e">
            <v>#VALUE!</v>
          </cell>
          <cell r="K308"/>
          <cell r="L308" t="str">
            <v>Islam</v>
          </cell>
          <cell r="M308" t="str">
            <v>Sidoarjo</v>
          </cell>
          <cell r="N308" t="str">
            <v>Supply Chain</v>
          </cell>
          <cell r="O308" t="str">
            <v>Raw Material Warehouse</v>
          </cell>
          <cell r="P308" t="str">
            <v>Pelaksana</v>
          </cell>
          <cell r="Q308" t="str">
            <v>A2</v>
          </cell>
          <cell r="R308" t="str">
            <v>Grup Shift</v>
          </cell>
          <cell r="S308" t="str">
            <v>Aktif</v>
          </cell>
          <cell r="T308"/>
          <cell r="U308" t="str">
            <v>GRMB240526</v>
          </cell>
          <cell r="V308" t="str">
            <v>IG_PROD</v>
          </cell>
          <cell r="W308">
            <v>47</v>
          </cell>
          <cell r="X308">
            <v>28</v>
          </cell>
          <cell r="Y308" t="str">
            <v>K/1</v>
          </cell>
          <cell r="Z308">
            <v>3</v>
          </cell>
          <cell r="AA308" t="str">
            <v>Ya</v>
          </cell>
          <cell r="AB308" t="str">
            <v>Ya</v>
          </cell>
          <cell r="AC308" t="str">
            <v>Ya</v>
          </cell>
        </row>
        <row r="309">
          <cell r="B309" t="str">
            <v>50492</v>
          </cell>
          <cell r="C309" t="str">
            <v>Ikwanto</v>
          </cell>
          <cell r="D309" t="str">
            <v>Pilangbangu RT.008 RW.003 Desa/Kel Kemangsen Kec. Balongbendo</v>
          </cell>
          <cell r="E309" t="str">
            <v>Sidoarjo</v>
          </cell>
          <cell r="F309"/>
          <cell r="G309" t="str">
            <v>3515120905770002</v>
          </cell>
          <cell r="H309" t="str">
            <v>085732357586</v>
          </cell>
          <cell r="I309">
            <v>44933</v>
          </cell>
          <cell r="J309">
            <v>28373</v>
          </cell>
          <cell r="K309"/>
          <cell r="L309" t="str">
            <v>Islam</v>
          </cell>
          <cell r="M309" t="str">
            <v>Sidoarjo</v>
          </cell>
          <cell r="N309" t="str">
            <v>Supply Chain</v>
          </cell>
          <cell r="O309" t="str">
            <v>Raw Material Warehouse</v>
          </cell>
          <cell r="P309" t="str">
            <v>Pelaksana</v>
          </cell>
          <cell r="Q309" t="str">
            <v>A2</v>
          </cell>
          <cell r="R309" t="str">
            <v>Grup Shift</v>
          </cell>
          <cell r="S309" t="str">
            <v>Aktif</v>
          </cell>
          <cell r="T309"/>
          <cell r="U309" t="str">
            <v>GRMC240526</v>
          </cell>
          <cell r="V309" t="str">
            <v>IG_PROD</v>
          </cell>
          <cell r="W309">
            <v>49</v>
          </cell>
          <cell r="X309">
            <v>28</v>
          </cell>
          <cell r="Y309" t="str">
            <v>K/0</v>
          </cell>
          <cell r="Z309">
            <v>3</v>
          </cell>
          <cell r="AA309" t="str">
            <v>Ya</v>
          </cell>
          <cell r="AB309" t="str">
            <v>Ya</v>
          </cell>
          <cell r="AC309" t="str">
            <v>Ya</v>
          </cell>
        </row>
        <row r="310">
          <cell r="B310" t="str">
            <v>50493</v>
          </cell>
          <cell r="C310" t="str">
            <v>Djumari</v>
          </cell>
          <cell r="D310" t="str">
            <v>Dsn.Gunung Anyar  RT.02 RW.01 Kedunganyar - Wringin-Anom</v>
          </cell>
          <cell r="E310" t="str">
            <v>Gresik</v>
          </cell>
          <cell r="F310"/>
          <cell r="G310" t="str">
            <v>3525060603740006</v>
          </cell>
          <cell r="H310" t="str">
            <v>0895325194812</v>
          </cell>
          <cell r="I310">
            <v>44933</v>
          </cell>
          <cell r="J310">
            <v>27183</v>
          </cell>
          <cell r="K310"/>
          <cell r="L310" t="str">
            <v>Islam</v>
          </cell>
          <cell r="M310" t="str">
            <v>Sidoarjo</v>
          </cell>
          <cell r="N310" t="str">
            <v>Supply Chain</v>
          </cell>
          <cell r="O310" t="str">
            <v>Raw Material Warehouse</v>
          </cell>
          <cell r="P310" t="str">
            <v>Pelaksana</v>
          </cell>
          <cell r="Q310" t="str">
            <v>A2</v>
          </cell>
          <cell r="R310" t="str">
            <v>Grup Shift</v>
          </cell>
          <cell r="S310" t="str">
            <v>Aktif</v>
          </cell>
          <cell r="T310"/>
          <cell r="U310" t="str">
            <v>GRMA240526</v>
          </cell>
          <cell r="V310" t="str">
            <v>IG_PROD</v>
          </cell>
          <cell r="W310">
            <v>52</v>
          </cell>
          <cell r="X310">
            <v>28</v>
          </cell>
          <cell r="Y310" t="str">
            <v>K/2</v>
          </cell>
          <cell r="Z310">
            <v>3</v>
          </cell>
          <cell r="AA310" t="str">
            <v>Ya</v>
          </cell>
          <cell r="AB310" t="str">
            <v>Ya</v>
          </cell>
          <cell r="AC310" t="str">
            <v>Ya</v>
          </cell>
        </row>
        <row r="311">
          <cell r="B311" t="str">
            <v>50496</v>
          </cell>
          <cell r="C311" t="str">
            <v>Saparimegandi</v>
          </cell>
          <cell r="D311" t="str">
            <v>Dsn. Bendotretek RT.05 RW.01 Bendotretek Prambon</v>
          </cell>
          <cell r="E311" t="str">
            <v>Sidoarjo</v>
          </cell>
          <cell r="F311"/>
          <cell r="G311" t="str">
            <v>3515020810730005</v>
          </cell>
          <cell r="H311" t="str">
            <v>083117061955</v>
          </cell>
          <cell r="I311">
            <v>44933</v>
          </cell>
          <cell r="J311">
            <v>26886</v>
          </cell>
          <cell r="K311"/>
          <cell r="L311" t="str">
            <v>Islam</v>
          </cell>
          <cell r="M311" t="str">
            <v>Sidoarjo</v>
          </cell>
          <cell r="N311" t="str">
            <v>Supply Chain</v>
          </cell>
          <cell r="O311" t="str">
            <v>Finished Good Warehouse</v>
          </cell>
          <cell r="P311" t="str">
            <v>Pelaksana</v>
          </cell>
          <cell r="Q311" t="str">
            <v>A1</v>
          </cell>
          <cell r="R311" t="str">
            <v>Grup Shift</v>
          </cell>
          <cell r="S311" t="str">
            <v>Aktif</v>
          </cell>
          <cell r="T311"/>
          <cell r="U311" t="str">
            <v>GJD240526</v>
          </cell>
          <cell r="V311" t="str">
            <v>Instant</v>
          </cell>
          <cell r="W311">
            <v>52</v>
          </cell>
          <cell r="X311">
            <v>28</v>
          </cell>
          <cell r="Y311" t="str">
            <v>K/0</v>
          </cell>
          <cell r="Z311">
            <v>3</v>
          </cell>
          <cell r="AA311" t="str">
            <v>Ya</v>
          </cell>
          <cell r="AB311" t="str">
            <v>Ya</v>
          </cell>
          <cell r="AC311" t="str">
            <v>Ya</v>
          </cell>
        </row>
        <row r="312">
          <cell r="B312" t="str">
            <v>50558</v>
          </cell>
          <cell r="C312" t="str">
            <v>Abdul Wahib</v>
          </cell>
          <cell r="D312" t="str">
            <v>Wantil RT.07 RW.04 Wonokalang - Wonoayu</v>
          </cell>
          <cell r="E312" t="str">
            <v>Sidoarjo</v>
          </cell>
          <cell r="F312"/>
          <cell r="G312" t="str">
            <v>3515111610760002</v>
          </cell>
          <cell r="H312" t="str">
            <v>085230241380</v>
          </cell>
          <cell r="I312">
            <v>44933</v>
          </cell>
          <cell r="J312" t="e">
            <v>#VALUE!</v>
          </cell>
          <cell r="K312"/>
          <cell r="L312" t="str">
            <v>Islam</v>
          </cell>
          <cell r="M312" t="str">
            <v>Sidoarjo</v>
          </cell>
          <cell r="N312" t="str">
            <v>Supply Chain</v>
          </cell>
          <cell r="O312" t="str">
            <v>Raw Material Warehouse</v>
          </cell>
          <cell r="P312" t="str">
            <v>Kepala Regu</v>
          </cell>
          <cell r="Q312" t="str">
            <v>A3</v>
          </cell>
          <cell r="R312" t="str">
            <v>Grup Shift</v>
          </cell>
          <cell r="S312" t="str">
            <v>Aktif</v>
          </cell>
          <cell r="T312"/>
          <cell r="U312" t="str">
            <v>GRMC240526</v>
          </cell>
          <cell r="V312" t="str">
            <v>IG_PROD</v>
          </cell>
          <cell r="W312">
            <v>49</v>
          </cell>
          <cell r="X312">
            <v>23</v>
          </cell>
          <cell r="Y312" t="str">
            <v>K/2</v>
          </cell>
          <cell r="Z312">
            <v>3</v>
          </cell>
          <cell r="AA312" t="str">
            <v>Ya</v>
          </cell>
          <cell r="AB312" t="str">
            <v>Ya</v>
          </cell>
          <cell r="AC312" t="str">
            <v>Ya</v>
          </cell>
        </row>
        <row r="313">
          <cell r="B313" t="str">
            <v>50606</v>
          </cell>
          <cell r="C313" t="str">
            <v>Moch. Arif Suyadi</v>
          </cell>
          <cell r="D313" t="str">
            <v>Perum Jati Asri 1 Blok D No.02 RT.3 Rw.5 Tempel-Krian</v>
          </cell>
          <cell r="E313" t="str">
            <v>Sidoarjo</v>
          </cell>
          <cell r="F313"/>
          <cell r="G313" t="str">
            <v>3515130909770007</v>
          </cell>
          <cell r="H313" t="str">
            <v>081338142332</v>
          </cell>
          <cell r="I313">
            <v>44933</v>
          </cell>
          <cell r="J313">
            <v>28377</v>
          </cell>
          <cell r="K313"/>
          <cell r="L313" t="str">
            <v>Islam</v>
          </cell>
          <cell r="M313" t="str">
            <v>Sidoarjo</v>
          </cell>
          <cell r="N313" t="str">
            <v>Supply Chain</v>
          </cell>
          <cell r="O313" t="str">
            <v>Exim</v>
          </cell>
          <cell r="P313" t="str">
            <v>Staf Equal To Spv</v>
          </cell>
          <cell r="Q313" t="str">
            <v>C2</v>
          </cell>
          <cell r="R313" t="str">
            <v>Shift</v>
          </cell>
          <cell r="S313" t="str">
            <v>Aktif</v>
          </cell>
          <cell r="T313" t="str">
            <v>NS2</v>
          </cell>
          <cell r="U313"/>
          <cell r="V313" t="str">
            <v>IG_PROD</v>
          </cell>
          <cell r="W313">
            <v>48</v>
          </cell>
          <cell r="X313">
            <v>20</v>
          </cell>
          <cell r="Y313" t="str">
            <v>K/3</v>
          </cell>
          <cell r="Z313">
            <v>3</v>
          </cell>
          <cell r="AA313" t="str">
            <v>Ya</v>
          </cell>
          <cell r="AB313" t="str">
            <v>Ya</v>
          </cell>
          <cell r="AC313" t="str">
            <v>Ya</v>
          </cell>
        </row>
        <row r="314">
          <cell r="B314" t="str">
            <v>50609</v>
          </cell>
          <cell r="C314" t="str">
            <v>Riska Eka Yunita</v>
          </cell>
          <cell r="D314" t="str">
            <v>Ds. Katerungan Rt.08 RW.02 Katerungan - Krian</v>
          </cell>
          <cell r="E314" t="str">
            <v>Sidoarjo</v>
          </cell>
          <cell r="F314"/>
          <cell r="G314" t="str">
            <v>3524265106860002</v>
          </cell>
          <cell r="H314" t="str">
            <v>082246398016</v>
          </cell>
          <cell r="I314">
            <v>44933</v>
          </cell>
          <cell r="J314">
            <v>31722</v>
          </cell>
          <cell r="K314"/>
          <cell r="L314" t="str">
            <v>Islam</v>
          </cell>
          <cell r="M314" t="str">
            <v>Sidoarjo</v>
          </cell>
          <cell r="N314" t="str">
            <v>Supply Chain</v>
          </cell>
          <cell r="O314" t="str">
            <v>Purchasing</v>
          </cell>
          <cell r="P314" t="str">
            <v>Staf Equal To Spv</v>
          </cell>
          <cell r="Q314" t="str">
            <v>C2</v>
          </cell>
          <cell r="R314" t="str">
            <v>Shift</v>
          </cell>
          <cell r="S314" t="str">
            <v>Aktif</v>
          </cell>
          <cell r="T314" t="str">
            <v>NS2</v>
          </cell>
          <cell r="U314"/>
          <cell r="V314" t="str">
            <v>IG_PROD</v>
          </cell>
          <cell r="W314">
            <v>40</v>
          </cell>
          <cell r="X314">
            <v>20</v>
          </cell>
          <cell r="Y314" t="str">
            <v>T/0</v>
          </cell>
          <cell r="Z314">
            <v>3</v>
          </cell>
          <cell r="AA314" t="str">
            <v>Ya</v>
          </cell>
          <cell r="AB314" t="str">
            <v>Ya</v>
          </cell>
          <cell r="AC314" t="str">
            <v>Ya</v>
          </cell>
        </row>
        <row r="315">
          <cell r="B315" t="str">
            <v>50614</v>
          </cell>
          <cell r="C315" t="str">
            <v>Yonathan Libertius</v>
          </cell>
          <cell r="D315" t="str">
            <v>Jl. Pahlawan No.41 RT.04 RW.01 Mojowarno  Mojowarno</v>
          </cell>
          <cell r="E315" t="str">
            <v>Jombang</v>
          </cell>
          <cell r="F315"/>
          <cell r="G315" t="str">
            <v>3517070510850002</v>
          </cell>
          <cell r="H315" t="str">
            <v>085645267428</v>
          </cell>
          <cell r="I315">
            <v>44933</v>
          </cell>
          <cell r="J315">
            <v>31177</v>
          </cell>
          <cell r="K315"/>
          <cell r="L315" t="str">
            <v>Kristen Protestan</v>
          </cell>
          <cell r="M315" t="str">
            <v>Sidoarjo</v>
          </cell>
          <cell r="N315" t="str">
            <v>Supply Chain</v>
          </cell>
          <cell r="O315" t="str">
            <v>PPIC</v>
          </cell>
          <cell r="P315" t="str">
            <v>Assistant Manager</v>
          </cell>
          <cell r="Q315" t="str">
            <v>III</v>
          </cell>
          <cell r="R315" t="str">
            <v>Shift</v>
          </cell>
          <cell r="S315" t="str">
            <v>Aktif</v>
          </cell>
          <cell r="T315" t="str">
            <v>NS2</v>
          </cell>
          <cell r="U315"/>
          <cell r="V315" t="str">
            <v>IG_PROD</v>
          </cell>
          <cell r="W315">
            <v>40</v>
          </cell>
          <cell r="X315">
            <v>20</v>
          </cell>
          <cell r="Y315" t="str">
            <v>K/1</v>
          </cell>
          <cell r="Z315">
            <v>3</v>
          </cell>
          <cell r="AA315" t="str">
            <v>Ya</v>
          </cell>
          <cell r="AB315" t="str">
            <v>Ya</v>
          </cell>
          <cell r="AC315" t="str">
            <v>Ya</v>
          </cell>
        </row>
        <row r="316">
          <cell r="B316" t="str">
            <v>50637</v>
          </cell>
          <cell r="C316" t="str">
            <v>Pipit Noor Kivani</v>
          </cell>
          <cell r="D316" t="str">
            <v>Perum Pejaya Anugerah Blok O/04 RT.05 RW.03 Kramat Jegu  Taman</v>
          </cell>
          <cell r="E316" t="str">
            <v>Sidoarjo</v>
          </cell>
          <cell r="F316"/>
          <cell r="G316" t="str">
            <v>3515136007760007</v>
          </cell>
          <cell r="H316" t="str">
            <v>081217414704</v>
          </cell>
          <cell r="I316">
            <v>44933</v>
          </cell>
          <cell r="J316" t="e">
            <v>#VALUE!</v>
          </cell>
          <cell r="K316"/>
          <cell r="L316" t="str">
            <v>Islam</v>
          </cell>
          <cell r="M316" t="str">
            <v>Sidoarjo</v>
          </cell>
          <cell r="N316" t="str">
            <v>Supply Chain</v>
          </cell>
          <cell r="O316" t="str">
            <v>Exim</v>
          </cell>
          <cell r="P316" t="str">
            <v>Staf Equal To Spv</v>
          </cell>
          <cell r="Q316" t="str">
            <v>C2</v>
          </cell>
          <cell r="R316" t="str">
            <v>Shift</v>
          </cell>
          <cell r="S316" t="str">
            <v>Aktif</v>
          </cell>
          <cell r="T316" t="str">
            <v>NS2</v>
          </cell>
          <cell r="U316"/>
          <cell r="V316" t="str">
            <v>IG_PROD</v>
          </cell>
          <cell r="W316">
            <v>50</v>
          </cell>
          <cell r="X316">
            <v>18</v>
          </cell>
          <cell r="Y316" t="str">
            <v>T/0</v>
          </cell>
          <cell r="Z316">
            <v>3</v>
          </cell>
          <cell r="AA316" t="str">
            <v>Ya</v>
          </cell>
          <cell r="AB316" t="str">
            <v>Ya</v>
          </cell>
          <cell r="AC316" t="str">
            <v>Ya</v>
          </cell>
        </row>
        <row r="317">
          <cell r="B317" t="str">
            <v>50638</v>
          </cell>
          <cell r="C317" t="str">
            <v>Farhan Wijaya</v>
          </cell>
          <cell r="D317" t="str">
            <v>Perum Permata Sukodono Raya B3 / 12 RT.06 RW.01 Sukodono  Sukodono</v>
          </cell>
          <cell r="E317" t="str">
            <v>Sidoarjo</v>
          </cell>
          <cell r="F317"/>
          <cell r="G317" t="str">
            <v>3515140403780002</v>
          </cell>
          <cell r="H317" t="str">
            <v>08782001924</v>
          </cell>
          <cell r="I317">
            <v>44933</v>
          </cell>
          <cell r="J317">
            <v>28583</v>
          </cell>
          <cell r="K317"/>
          <cell r="L317" t="str">
            <v>Islam</v>
          </cell>
          <cell r="M317" t="str">
            <v>Sidoarjo</v>
          </cell>
          <cell r="N317" t="str">
            <v>Supply Chain</v>
          </cell>
          <cell r="O317" t="str">
            <v>Raw Material Warehouse</v>
          </cell>
          <cell r="P317" t="str">
            <v>Supervisor</v>
          </cell>
          <cell r="Q317" t="str">
            <v>C2</v>
          </cell>
          <cell r="R317" t="str">
            <v>Grup Shift</v>
          </cell>
          <cell r="S317" t="str">
            <v>Aktif</v>
          </cell>
          <cell r="T317"/>
          <cell r="U317" t="str">
            <v>GDA 240526</v>
          </cell>
          <cell r="V317" t="str">
            <v>IG_PROD</v>
          </cell>
          <cell r="W317">
            <v>48</v>
          </cell>
          <cell r="X317">
            <v>18</v>
          </cell>
          <cell r="Y317" t="str">
            <v>K/1</v>
          </cell>
          <cell r="Z317">
            <v>3</v>
          </cell>
          <cell r="AA317" t="str">
            <v>Ya</v>
          </cell>
          <cell r="AB317" t="str">
            <v>Ya</v>
          </cell>
          <cell r="AC317" t="str">
            <v>Ya</v>
          </cell>
        </row>
        <row r="318">
          <cell r="B318" t="str">
            <v>50707</v>
          </cell>
          <cell r="C318" t="str">
            <v>Umbar</v>
          </cell>
          <cell r="D318" t="str">
            <v>Dsn. Rembu Kidul Rt.6 Rw.3 Ds. Japanan  Kemlagi</v>
          </cell>
          <cell r="E318" t="str">
            <v>Mojokerto</v>
          </cell>
          <cell r="F318"/>
          <cell r="G318" t="str">
            <v>3516151606800005</v>
          </cell>
          <cell r="H318" t="str">
            <v>085649466339</v>
          </cell>
          <cell r="I318">
            <v>44933</v>
          </cell>
          <cell r="J318" t="e">
            <v>#VALUE!</v>
          </cell>
          <cell r="K318"/>
          <cell r="L318" t="str">
            <v>Islam</v>
          </cell>
          <cell r="M318" t="str">
            <v>Sidoarjo</v>
          </cell>
          <cell r="N318" t="str">
            <v>Supply Chain</v>
          </cell>
          <cell r="O318" t="str">
            <v>Raw Material Warehouse</v>
          </cell>
          <cell r="P318" t="str">
            <v>Adm (pelaksana)</v>
          </cell>
          <cell r="Q318" t="str">
            <v>A3</v>
          </cell>
          <cell r="R318" t="str">
            <v>Shift</v>
          </cell>
          <cell r="S318" t="str">
            <v>Aktif</v>
          </cell>
          <cell r="T318" t="str">
            <v>NS1</v>
          </cell>
          <cell r="U318"/>
          <cell r="V318" t="str">
            <v>IG_PROD</v>
          </cell>
          <cell r="W318">
            <v>46</v>
          </cell>
          <cell r="X318">
            <v>13</v>
          </cell>
          <cell r="Y318" t="str">
            <v>K/2</v>
          </cell>
          <cell r="Z318">
            <v>3</v>
          </cell>
          <cell r="AA318" t="str">
            <v>Ya</v>
          </cell>
          <cell r="AB318" t="str">
            <v>Ya</v>
          </cell>
          <cell r="AC318" t="str">
            <v>Ya</v>
          </cell>
        </row>
        <row r="319">
          <cell r="B319" t="str">
            <v>50709</v>
          </cell>
          <cell r="C319" t="str">
            <v>Yeri Noviantoro</v>
          </cell>
          <cell r="D319" t="str">
            <v>Perum Tas III Blok. H-5 No.28 RT.59 RW.09 Grabagan  Tulangan</v>
          </cell>
          <cell r="E319" t="str">
            <v>Sidoarjo</v>
          </cell>
          <cell r="F319"/>
          <cell r="G319" t="str">
            <v>3515091511780005</v>
          </cell>
          <cell r="H319" t="str">
            <v>085606024218</v>
          </cell>
          <cell r="I319">
            <v>44933</v>
          </cell>
          <cell r="J319" t="e">
            <v>#VALUE!</v>
          </cell>
          <cell r="K319"/>
          <cell r="L319" t="str">
            <v>Islam</v>
          </cell>
          <cell r="M319" t="str">
            <v>Sidoarjo</v>
          </cell>
          <cell r="N319" t="str">
            <v>Supply Chain</v>
          </cell>
          <cell r="O319" t="str">
            <v>Raw Material Warehouse</v>
          </cell>
          <cell r="P319" t="str">
            <v>Kepala Regu</v>
          </cell>
          <cell r="Q319" t="str">
            <v>A3</v>
          </cell>
          <cell r="R319" t="str">
            <v>Grup Shift</v>
          </cell>
          <cell r="S319" t="str">
            <v>Aktif</v>
          </cell>
          <cell r="T319"/>
          <cell r="U319" t="str">
            <v>GRMB240526</v>
          </cell>
          <cell r="V319" t="str">
            <v>IG_PROD</v>
          </cell>
          <cell r="W319">
            <v>47</v>
          </cell>
          <cell r="X319">
            <v>13</v>
          </cell>
          <cell r="Y319" t="str">
            <v>K/1</v>
          </cell>
          <cell r="Z319">
            <v>3</v>
          </cell>
          <cell r="AA319" t="str">
            <v>Ya</v>
          </cell>
          <cell r="AB319" t="str">
            <v>Ya</v>
          </cell>
          <cell r="AC319" t="str">
            <v>Ya</v>
          </cell>
        </row>
        <row r="320">
          <cell r="B320" t="str">
            <v>50710</v>
          </cell>
          <cell r="C320" t="str">
            <v>Nasroful Muasfar</v>
          </cell>
          <cell r="D320" t="str">
            <v>Ngaresrejo Rt.14/Rw.3 Ngaresrejo  Sukodono</v>
          </cell>
          <cell r="E320" t="str">
            <v>Sidoarjo</v>
          </cell>
          <cell r="F320"/>
          <cell r="G320" t="str">
            <v>3515140304870001</v>
          </cell>
          <cell r="H320" t="str">
            <v>081217837561</v>
          </cell>
          <cell r="I320">
            <v>44933</v>
          </cell>
          <cell r="J320">
            <v>31840</v>
          </cell>
          <cell r="K320"/>
          <cell r="L320" t="str">
            <v>Islam</v>
          </cell>
          <cell r="M320" t="str">
            <v>Sidoarjo</v>
          </cell>
          <cell r="N320" t="str">
            <v>Supply Chain</v>
          </cell>
          <cell r="O320" t="str">
            <v>Gudang teknik</v>
          </cell>
          <cell r="P320" t="str">
            <v>Pelaksana</v>
          </cell>
          <cell r="Q320" t="str">
            <v>A2</v>
          </cell>
          <cell r="R320" t="str">
            <v>Grup Shift</v>
          </cell>
          <cell r="S320" t="str">
            <v>Aktif</v>
          </cell>
          <cell r="T320"/>
          <cell r="U320" t="str">
            <v>GRMC240526</v>
          </cell>
          <cell r="V320" t="str">
            <v>IG_PROD</v>
          </cell>
          <cell r="W320">
            <v>39</v>
          </cell>
          <cell r="X320">
            <v>13</v>
          </cell>
          <cell r="Y320" t="str">
            <v>K/2</v>
          </cell>
          <cell r="Z320">
            <v>3</v>
          </cell>
          <cell r="AA320" t="str">
            <v>Ya</v>
          </cell>
          <cell r="AB320" t="str">
            <v>Ya</v>
          </cell>
          <cell r="AC320" t="str">
            <v>Ya</v>
          </cell>
        </row>
        <row r="321">
          <cell r="B321" t="str">
            <v>50761</v>
          </cell>
          <cell r="C321" t="str">
            <v>Zainul Yoni Arifin</v>
          </cell>
          <cell r="D321" t="str">
            <v>Dsn. Sidorogo RT.04 RW.06 Trosobo, Taman (Kos)</v>
          </cell>
          <cell r="E321" t="str">
            <v>Sidoarjo</v>
          </cell>
          <cell r="F321"/>
          <cell r="G321" t="str">
            <v>3509231705940004</v>
          </cell>
          <cell r="H321" t="str">
            <v>081235343950</v>
          </cell>
          <cell r="I321">
            <v>44933</v>
          </cell>
          <cell r="J321" t="e">
            <v>#VALUE!</v>
          </cell>
          <cell r="K321"/>
          <cell r="L321" t="str">
            <v>Islam</v>
          </cell>
          <cell r="M321" t="str">
            <v>Sidoarjo</v>
          </cell>
          <cell r="N321" t="str">
            <v>Supply Chain</v>
          </cell>
          <cell r="O321" t="str">
            <v>PPIC</v>
          </cell>
          <cell r="P321" t="str">
            <v>Adm.Equal Foreman</v>
          </cell>
          <cell r="Q321" t="str">
            <v>A4</v>
          </cell>
          <cell r="R321" t="str">
            <v>Shift</v>
          </cell>
          <cell r="S321" t="str">
            <v>Aktif</v>
          </cell>
          <cell r="T321" t="str">
            <v>NS2</v>
          </cell>
          <cell r="U321"/>
          <cell r="V321" t="str">
            <v>IG_PROD</v>
          </cell>
          <cell r="W321">
            <v>32</v>
          </cell>
          <cell r="X321">
            <v>9</v>
          </cell>
          <cell r="Y321" t="str">
            <v>K/2</v>
          </cell>
          <cell r="Z321">
            <v>3</v>
          </cell>
          <cell r="AA321" t="str">
            <v>Ya</v>
          </cell>
          <cell r="AB321" t="str">
            <v>Ya</v>
          </cell>
          <cell r="AC321" t="str">
            <v>Ya</v>
          </cell>
        </row>
        <row r="322">
          <cell r="B322" t="str">
            <v>50808</v>
          </cell>
          <cell r="C322" t="str">
            <v>Denni Eka Arnanda</v>
          </cell>
          <cell r="D322" t="str">
            <v>Dsn. Sidorogo Rt.03 Rw.06 Trosobo, Taman</v>
          </cell>
          <cell r="E322" t="str">
            <v>Sidoarjo</v>
          </cell>
          <cell r="F322"/>
          <cell r="G322" t="str">
            <v>3524050202920010</v>
          </cell>
          <cell r="H322" t="str">
            <v>082231361621</v>
          </cell>
          <cell r="I322">
            <v>44933</v>
          </cell>
          <cell r="J322">
            <v>33636</v>
          </cell>
          <cell r="K322"/>
          <cell r="L322" t="str">
            <v>Islam</v>
          </cell>
          <cell r="M322" t="str">
            <v>Sidoarjo</v>
          </cell>
          <cell r="N322" t="str">
            <v>Supply Chain</v>
          </cell>
          <cell r="O322" t="str">
            <v>Gudang teknik</v>
          </cell>
          <cell r="P322" t="str">
            <v>Adm (pelaksana)</v>
          </cell>
          <cell r="Q322" t="str">
            <v>A3</v>
          </cell>
          <cell r="R322" t="str">
            <v>Shift</v>
          </cell>
          <cell r="S322" t="str">
            <v>Aktif</v>
          </cell>
          <cell r="T322" t="str">
            <v>NS1</v>
          </cell>
          <cell r="U322"/>
          <cell r="V322" t="str">
            <v>IG_PROD</v>
          </cell>
          <cell r="W322">
            <v>34</v>
          </cell>
          <cell r="X322">
            <v>6</v>
          </cell>
          <cell r="Y322" t="str">
            <v>T/0</v>
          </cell>
          <cell r="Z322">
            <v>3</v>
          </cell>
          <cell r="AA322" t="str">
            <v>Ya</v>
          </cell>
          <cell r="AB322" t="str">
            <v>Ya</v>
          </cell>
          <cell r="AC322" t="str">
            <v>Ya</v>
          </cell>
        </row>
        <row r="323">
          <cell r="B323" t="str">
            <v>50842</v>
          </cell>
          <cell r="C323" t="str">
            <v>Citra Desi Lukitasari</v>
          </cell>
          <cell r="D323" t="str">
            <v>Perum Surya Asri 2 Blok D9 No.37 Rt. 36 Rw. 11 Jumputrejo - Sukodono</v>
          </cell>
          <cell r="E323" t="str">
            <v>Sidoarjo</v>
          </cell>
          <cell r="F323"/>
          <cell r="G323" t="str">
            <v>3515095605950002</v>
          </cell>
          <cell r="H323" t="str">
            <v>082139938399</v>
          </cell>
          <cell r="I323">
            <v>44933</v>
          </cell>
          <cell r="J323" t="e">
            <v>#VALUE!</v>
          </cell>
          <cell r="K323"/>
          <cell r="L323" t="str">
            <v>Islam</v>
          </cell>
          <cell r="M323" t="str">
            <v>Sidoarjo</v>
          </cell>
          <cell r="N323" t="str">
            <v>Supply Chain</v>
          </cell>
          <cell r="O323" t="str">
            <v>Finished Good Warehouse</v>
          </cell>
          <cell r="P323" t="str">
            <v>Adm.Equal Foreman</v>
          </cell>
          <cell r="Q323" t="str">
            <v>A3</v>
          </cell>
          <cell r="R323" t="str">
            <v>Shift</v>
          </cell>
          <cell r="S323" t="str">
            <v>Aktif</v>
          </cell>
          <cell r="T323" t="str">
            <v>NS1</v>
          </cell>
          <cell r="U323"/>
          <cell r="V323" t="str">
            <v>Instant</v>
          </cell>
          <cell r="W323">
            <v>31</v>
          </cell>
          <cell r="X323">
            <v>6</v>
          </cell>
          <cell r="Y323" t="str">
            <v>T/0</v>
          </cell>
          <cell r="Z323">
            <v>3</v>
          </cell>
          <cell r="AA323" t="str">
            <v>Ya</v>
          </cell>
          <cell r="AB323" t="str">
            <v>Ya</v>
          </cell>
          <cell r="AC323" t="str">
            <v>Ya</v>
          </cell>
        </row>
        <row r="324">
          <cell r="B324" t="str">
            <v>50847</v>
          </cell>
          <cell r="C324" t="str">
            <v>Rifqi Abiyyu Ghofarinda</v>
          </cell>
          <cell r="D324" t="str">
            <v>Permata Alam Permai F4-23 Gemurung - Gedangan</v>
          </cell>
          <cell r="E324" t="str">
            <v>Sidoarjo</v>
          </cell>
          <cell r="F324"/>
          <cell r="G324" t="str">
            <v>3515162408000006</v>
          </cell>
          <cell r="H324" t="str">
            <v>0881-0261-25056</v>
          </cell>
          <cell r="I324">
            <v>44933</v>
          </cell>
          <cell r="J324" t="e">
            <v>#VALUE!</v>
          </cell>
          <cell r="K324"/>
          <cell r="L324" t="str">
            <v>Islam</v>
          </cell>
          <cell r="M324" t="str">
            <v>Sidoarjo</v>
          </cell>
          <cell r="N324" t="str">
            <v>Supply Chain</v>
          </cell>
          <cell r="O324" t="str">
            <v>PPIC</v>
          </cell>
          <cell r="P324" t="str">
            <v>Adm (pelaksana)</v>
          </cell>
          <cell r="Q324" t="str">
            <v>A4</v>
          </cell>
          <cell r="R324" t="str">
            <v>Shift</v>
          </cell>
          <cell r="S324" t="str">
            <v>Aktif</v>
          </cell>
          <cell r="T324" t="str">
            <v>NS2</v>
          </cell>
          <cell r="U324"/>
          <cell r="V324" t="str">
            <v>IG_PROD</v>
          </cell>
          <cell r="W324">
            <v>25</v>
          </cell>
          <cell r="X324">
            <v>4</v>
          </cell>
          <cell r="Y324" t="str">
            <v>K/0</v>
          </cell>
          <cell r="Z324">
            <v>3</v>
          </cell>
          <cell r="AA324" t="str">
            <v>Ya</v>
          </cell>
          <cell r="AB324" t="str">
            <v>Ya</v>
          </cell>
          <cell r="AC324" t="str">
            <v>Ya</v>
          </cell>
        </row>
        <row r="325">
          <cell r="B325" t="str">
            <v>50897</v>
          </cell>
          <cell r="C325" t="str">
            <v>Devi Alvionita Putri Hadi</v>
          </cell>
          <cell r="D325" t="str">
            <v>Quality Riverside Cluster Saisy Blok HH / No. 33 Kemasan - Krian</v>
          </cell>
          <cell r="E325" t="str">
            <v>Sidoarjo</v>
          </cell>
          <cell r="F325"/>
          <cell r="G325" t="str">
            <v>3578095712930002</v>
          </cell>
          <cell r="H325" t="str">
            <v>082335864789</v>
          </cell>
          <cell r="I325" t="e">
            <v>#VALUE!</v>
          </cell>
          <cell r="J325" t="e">
            <v>#VALUE!</v>
          </cell>
          <cell r="K325"/>
          <cell r="L325" t="str">
            <v>Islam</v>
          </cell>
          <cell r="M325" t="str">
            <v>Sidoarjo</v>
          </cell>
          <cell r="N325" t="str">
            <v>Supply Chain</v>
          </cell>
          <cell r="O325" t="str">
            <v>Purchasing</v>
          </cell>
          <cell r="P325" t="str">
            <v>Staf Equal To Spv</v>
          </cell>
          <cell r="Q325" t="str">
            <v>C2</v>
          </cell>
          <cell r="R325" t="str">
            <v>Shift</v>
          </cell>
          <cell r="S325" t="str">
            <v>Aktif</v>
          </cell>
          <cell r="T325" t="str">
            <v>NS2</v>
          </cell>
          <cell r="U325"/>
          <cell r="V325" t="str">
            <v>IG_PROD</v>
          </cell>
          <cell r="W325">
            <v>32</v>
          </cell>
          <cell r="X325">
            <v>2</v>
          </cell>
          <cell r="Y325" t="str">
            <v>T/0</v>
          </cell>
          <cell r="Z325">
            <v>2</v>
          </cell>
          <cell r="AA325" t="str">
            <v>Ya</v>
          </cell>
          <cell r="AB325" t="str">
            <v>Ya</v>
          </cell>
          <cell r="AC325" t="str">
            <v>Ya</v>
          </cell>
        </row>
        <row r="326">
          <cell r="B326" t="str">
            <v>50913</v>
          </cell>
          <cell r="C326" t="str">
            <v>Parianto</v>
          </cell>
          <cell r="D326" t="str">
            <v>Dsn. Wonokupang Rt.11 Rw.05 Wonokupang, Balongbendo</v>
          </cell>
          <cell r="E326" t="str">
            <v>Sidoarjo</v>
          </cell>
          <cell r="F326"/>
          <cell r="G326" t="str">
            <v>3523092712960002</v>
          </cell>
          <cell r="H326" t="str">
            <v>0895340051946</v>
          </cell>
          <cell r="I326" t="e">
            <v>#VALUE!</v>
          </cell>
          <cell r="J326" t="e">
            <v>#VALUE!</v>
          </cell>
          <cell r="K326"/>
          <cell r="L326" t="str">
            <v>Islam</v>
          </cell>
          <cell r="M326" t="str">
            <v>Sidoarjo</v>
          </cell>
          <cell r="N326" t="str">
            <v>Supply Chain</v>
          </cell>
          <cell r="O326" t="str">
            <v>Finished Good Warehouse</v>
          </cell>
          <cell r="P326" t="str">
            <v>Kepala Regu</v>
          </cell>
          <cell r="Q326" t="str">
            <v>A3</v>
          </cell>
          <cell r="R326" t="str">
            <v>Shift</v>
          </cell>
          <cell r="S326" t="str">
            <v>Aktif</v>
          </cell>
          <cell r="T326" t="str">
            <v>NS2</v>
          </cell>
          <cell r="U326"/>
          <cell r="V326" t="str">
            <v>Instant</v>
          </cell>
          <cell r="W326">
            <v>29</v>
          </cell>
          <cell r="X326">
            <v>1</v>
          </cell>
          <cell r="Y326" t="str">
            <v>K/1</v>
          </cell>
          <cell r="Z326">
            <v>1</v>
          </cell>
          <cell r="AA326" t="str">
            <v>Ya</v>
          </cell>
          <cell r="AB326" t="str">
            <v>Ya</v>
          </cell>
          <cell r="AC326" t="str">
            <v>Ya</v>
          </cell>
        </row>
        <row r="327">
          <cell r="B327" t="str">
            <v>50916</v>
          </cell>
          <cell r="C327" t="str">
            <v>Yoga Rizki Pratama Fuady</v>
          </cell>
          <cell r="D327" t="str">
            <v>Kradenan III No.09 RT.04 Rw.03 Kel. Kauman Kec. Prajuritkulon</v>
          </cell>
          <cell r="E327" t="str">
            <v>Mojokerto</v>
          </cell>
          <cell r="F327"/>
          <cell r="G327" t="str">
            <v>3576012410960002</v>
          </cell>
          <cell r="H327" t="str">
            <v>081215628772</v>
          </cell>
          <cell r="I327" t="e">
            <v>#VALUE!</v>
          </cell>
          <cell r="J327" t="e">
            <v>#VALUE!</v>
          </cell>
          <cell r="K327"/>
          <cell r="L327" t="str">
            <v>Islam</v>
          </cell>
          <cell r="M327" t="str">
            <v>Sidoarjo</v>
          </cell>
          <cell r="N327" t="str">
            <v>Supply Chain</v>
          </cell>
          <cell r="O327" t="str">
            <v>PPIC</v>
          </cell>
          <cell r="P327" t="str">
            <v>Staf Equel To Kabag</v>
          </cell>
          <cell r="Q327" t="str">
            <v>III</v>
          </cell>
          <cell r="R327" t="str">
            <v>Shift</v>
          </cell>
          <cell r="S327" t="str">
            <v>Aktif</v>
          </cell>
          <cell r="T327" t="str">
            <v>NS2</v>
          </cell>
          <cell r="U327"/>
          <cell r="V327" t="str">
            <v>IG_PROD</v>
          </cell>
          <cell r="W327">
            <v>29</v>
          </cell>
          <cell r="X327">
            <v>1</v>
          </cell>
          <cell r="Y327" t="str">
            <v>T/0</v>
          </cell>
          <cell r="Z327">
            <v>1</v>
          </cell>
          <cell r="AA327" t="str">
            <v>Tidak</v>
          </cell>
          <cell r="AB327" t="str">
            <v>Tidak</v>
          </cell>
          <cell r="AC327" t="str">
            <v>Tidak</v>
          </cell>
        </row>
        <row r="328">
          <cell r="B328" t="str">
            <v>50920</v>
          </cell>
          <cell r="C328" t="str">
            <v>Ardianto</v>
          </cell>
          <cell r="D328" t="str">
            <v>Perum Graha Tirta Cluster Tirta Kirana Blok D1 No.03 Rt.06 Rw.13 Ngingas, Waru</v>
          </cell>
          <cell r="E328" t="str">
            <v>Sidoarjo 61256</v>
          </cell>
          <cell r="F328"/>
          <cell r="G328" t="str">
            <v>5272010105900009</v>
          </cell>
          <cell r="H328" t="str">
            <v>085781092267</v>
          </cell>
          <cell r="I328">
            <v>45719</v>
          </cell>
          <cell r="J328">
            <v>32878</v>
          </cell>
          <cell r="K328"/>
          <cell r="L328" t="str">
            <v>Kristen Protestan</v>
          </cell>
          <cell r="M328" t="str">
            <v>Sidoarjo</v>
          </cell>
          <cell r="N328" t="str">
            <v>Supply Chain</v>
          </cell>
          <cell r="O328" t="str">
            <v>PPIC</v>
          </cell>
          <cell r="P328" t="str">
            <v>Manager</v>
          </cell>
          <cell r="Q328" t="str">
            <v>II</v>
          </cell>
          <cell r="R328" t="str">
            <v>Shift</v>
          </cell>
          <cell r="S328" t="str">
            <v>Aktif</v>
          </cell>
          <cell r="T328" t="str">
            <v>NS2</v>
          </cell>
          <cell r="U328"/>
          <cell r="V328" t="str">
            <v>IG_PROD</v>
          </cell>
          <cell r="W328">
            <v>36</v>
          </cell>
          <cell r="X328">
            <v>1</v>
          </cell>
          <cell r="Y328" t="str">
            <v>K/1</v>
          </cell>
          <cell r="Z328">
            <v>1</v>
          </cell>
          <cell r="AA328" t="str">
            <v>Ya</v>
          </cell>
          <cell r="AB328" t="str">
            <v>Ya</v>
          </cell>
          <cell r="AC328" t="str">
            <v>Ya</v>
          </cell>
        </row>
        <row r="329">
          <cell r="B329" t="str">
            <v>50928</v>
          </cell>
          <cell r="C329" t="str">
            <v>Muhammad Nur Ardiansyah</v>
          </cell>
          <cell r="D329" t="str">
            <v>Desa Punokawan (Kos)</v>
          </cell>
          <cell r="E329" t="str">
            <v>Krian</v>
          </cell>
          <cell r="F329"/>
          <cell r="G329" t="str">
            <v>3575030212890001</v>
          </cell>
          <cell r="H329" t="str">
            <v>085646474581</v>
          </cell>
          <cell r="I329" t="e">
            <v>#VALUE!</v>
          </cell>
          <cell r="J329">
            <v>32551</v>
          </cell>
          <cell r="K329"/>
          <cell r="L329" t="str">
            <v>Islam</v>
          </cell>
          <cell r="M329" t="str">
            <v>Sidoarjo</v>
          </cell>
          <cell r="N329" t="str">
            <v>Supply Chain</v>
          </cell>
          <cell r="O329" t="str">
            <v>Gudang teknik</v>
          </cell>
          <cell r="P329" t="str">
            <v>Supervisor</v>
          </cell>
          <cell r="Q329" t="str">
            <v>C2</v>
          </cell>
          <cell r="R329" t="str">
            <v>Shift</v>
          </cell>
          <cell r="S329" t="str">
            <v>Aktif</v>
          </cell>
          <cell r="T329" t="str">
            <v>NS1</v>
          </cell>
          <cell r="U329"/>
          <cell r="V329" t="str">
            <v>IG_PROD</v>
          </cell>
          <cell r="W329">
            <v>36</v>
          </cell>
          <cell r="X329">
            <v>0</v>
          </cell>
          <cell r="Y329" t="str">
            <v>K/1</v>
          </cell>
          <cell r="Z329">
            <v>0</v>
          </cell>
          <cell r="AA329" t="str">
            <v>Ya</v>
          </cell>
          <cell r="AB329" t="str">
            <v>Ya</v>
          </cell>
          <cell r="AC329" t="str">
            <v>Ya</v>
          </cell>
        </row>
        <row r="330">
          <cell r="B330" t="str">
            <v>50929</v>
          </cell>
          <cell r="C330" t="str">
            <v>R. Bayu Surma Nour Rachman</v>
          </cell>
          <cell r="D330" t="str">
            <v>Dsn. Wonokayun Rt.10 / Rw. 05 Desa Wonokarang - Kec. Balongbendo</v>
          </cell>
          <cell r="E330" t="str">
            <v>Sidoarjo (61236)</v>
          </cell>
          <cell r="F330"/>
          <cell r="G330" t="str">
            <v>3515012803920001</v>
          </cell>
          <cell r="H330" t="str">
            <v>085704017433</v>
          </cell>
          <cell r="I330" t="e">
            <v>#VALUE!</v>
          </cell>
          <cell r="J330" t="e">
            <v>#VALUE!</v>
          </cell>
          <cell r="K330"/>
          <cell r="L330" t="str">
            <v>Islam</v>
          </cell>
          <cell r="M330" t="str">
            <v>Sidoarjo</v>
          </cell>
          <cell r="N330" t="str">
            <v>Supply Chain</v>
          </cell>
          <cell r="O330" t="str">
            <v>Raw Material Warehouse</v>
          </cell>
          <cell r="P330" t="str">
            <v>Kepala Regu</v>
          </cell>
          <cell r="Q330" t="str">
            <v>A3</v>
          </cell>
          <cell r="R330" t="str">
            <v>Grup Shift</v>
          </cell>
          <cell r="S330" t="str">
            <v>Aktif</v>
          </cell>
          <cell r="T330"/>
          <cell r="U330" t="str">
            <v>GRMA240526</v>
          </cell>
          <cell r="V330" t="str">
            <v>IG_PROD</v>
          </cell>
          <cell r="W330">
            <v>34</v>
          </cell>
          <cell r="X330">
            <v>0</v>
          </cell>
          <cell r="Y330" t="str">
            <v>K/2</v>
          </cell>
          <cell r="Z330">
            <v>0</v>
          </cell>
          <cell r="AA330" t="str">
            <v>Ya</v>
          </cell>
          <cell r="AB330" t="str">
            <v>Ya</v>
          </cell>
          <cell r="AC330" t="str">
            <v>Ya</v>
          </cell>
        </row>
        <row r="331">
          <cell r="B331" t="str">
            <v>50930</v>
          </cell>
          <cell r="C331" t="str">
            <v>Moch. Ihvan Arif</v>
          </cell>
          <cell r="D331" t="str">
            <v>Dsn. Plemahan RT.016 RW.003 Banyuarang Ngoro</v>
          </cell>
          <cell r="E331" t="str">
            <v>Jombang</v>
          </cell>
          <cell r="F331"/>
          <cell r="G331" t="str">
            <v>3506062107950001</v>
          </cell>
          <cell r="H331" t="str">
            <v>085731979852</v>
          </cell>
          <cell r="I331">
            <v>45818</v>
          </cell>
          <cell r="J331" t="e">
            <v>#VALUE!</v>
          </cell>
          <cell r="K331"/>
          <cell r="L331" t="str">
            <v>Islam</v>
          </cell>
          <cell r="M331" t="str">
            <v>Sidoarjo</v>
          </cell>
          <cell r="N331" t="str">
            <v>Supply Chain</v>
          </cell>
          <cell r="O331" t="str">
            <v>Supporting Material Warehouse</v>
          </cell>
          <cell r="P331" t="str">
            <v>Adm (pelaksana)</v>
          </cell>
          <cell r="Q331" t="str">
            <v>A3</v>
          </cell>
          <cell r="R331" t="str">
            <v>Shift</v>
          </cell>
          <cell r="S331" t="str">
            <v>Aktif</v>
          </cell>
          <cell r="T331" t="str">
            <v>NS1</v>
          </cell>
          <cell r="U331"/>
          <cell r="V331" t="str">
            <v>Ground</v>
          </cell>
          <cell r="W331">
            <v>31</v>
          </cell>
          <cell r="X331">
            <v>0</v>
          </cell>
          <cell r="Y331" t="str">
            <v>K/1</v>
          </cell>
          <cell r="Z331">
            <v>0</v>
          </cell>
          <cell r="AA331" t="str">
            <v>Ya</v>
          </cell>
          <cell r="AB331" t="str">
            <v>Ya</v>
          </cell>
          <cell r="AC331" t="str">
            <v>Ya</v>
          </cell>
        </row>
        <row r="332">
          <cell r="B332" t="str">
            <v>50935</v>
          </cell>
          <cell r="C332" t="str">
            <v>Nurintan Purwandanik</v>
          </cell>
          <cell r="D332" t="str">
            <v>Jl. Kemantren Rt.02 Rw.02 Ds. Kemantren, Kec. Tulangan, Sidoarjo</v>
          </cell>
          <cell r="E332" t="str">
            <v>Sidoarjo (61273)</v>
          </cell>
          <cell r="F332"/>
          <cell r="G332" t="str">
            <v>3506256812930001</v>
          </cell>
          <cell r="H332" t="str">
            <v>082229178676</v>
          </cell>
          <cell r="I332">
            <v>46357</v>
          </cell>
          <cell r="J332" t="e">
            <v>#VALUE!</v>
          </cell>
          <cell r="K332"/>
          <cell r="L332" t="str">
            <v>Islam</v>
          </cell>
          <cell r="M332" t="str">
            <v>Sidoarjo</v>
          </cell>
          <cell r="N332" t="str">
            <v>Supply Chain</v>
          </cell>
          <cell r="O332" t="str">
            <v>Purchasing</v>
          </cell>
          <cell r="P332" t="str">
            <v>Assistant Manager</v>
          </cell>
          <cell r="Q332" t="str">
            <v>II</v>
          </cell>
          <cell r="R332" t="str">
            <v>Shift</v>
          </cell>
          <cell r="S332" t="str">
            <v>Aktif</v>
          </cell>
          <cell r="T332" t="str">
            <v>NS2</v>
          </cell>
          <cell r="U332"/>
          <cell r="V332" t="str">
            <v>IG_PROD</v>
          </cell>
          <cell r="W332">
            <v>32</v>
          </cell>
          <cell r="X332">
            <v>0</v>
          </cell>
          <cell r="Y332" t="str">
            <v>T/0</v>
          </cell>
          <cell r="Z332">
            <v>0</v>
          </cell>
          <cell r="AA332" t="str">
            <v>Tidak</v>
          </cell>
          <cell r="AB332" t="str">
            <v>Tidak</v>
          </cell>
          <cell r="AC332" t="str">
            <v>Tidak</v>
          </cell>
        </row>
        <row r="333">
          <cell r="B333" t="str">
            <v>50940</v>
          </cell>
          <cell r="C333" t="str">
            <v>Fandy Arya Gunadi</v>
          </cell>
          <cell r="D333" t="str">
            <v>Wellington Park Residences Blok I No.8 Ds. Tambaksumur Kec. Waru Kab. Sidoarjo (61256)</v>
          </cell>
          <cell r="E333" t="str">
            <v>Sidoarjo</v>
          </cell>
          <cell r="F333"/>
          <cell r="G333" t="str">
            <v>3374070304930002</v>
          </cell>
          <cell r="H333" t="str">
            <v>082227730852</v>
          </cell>
          <cell r="I333">
            <v>46238</v>
          </cell>
          <cell r="J333">
            <v>34032</v>
          </cell>
          <cell r="K333"/>
          <cell r="L333" t="str">
            <v>Kristen Katolik</v>
          </cell>
          <cell r="M333" t="str">
            <v>Sidoarjo</v>
          </cell>
          <cell r="N333" t="str">
            <v>Supply Chain</v>
          </cell>
          <cell r="O333" t="str">
            <v>Exim</v>
          </cell>
          <cell r="P333" t="str">
            <v>Staf Equel To Kabag</v>
          </cell>
          <cell r="Q333" t="str">
            <v>III</v>
          </cell>
          <cell r="R333" t="str">
            <v>Shift</v>
          </cell>
          <cell r="S333" t="str">
            <v>Aktif</v>
          </cell>
          <cell r="T333" t="str">
            <v>NS2</v>
          </cell>
          <cell r="U333"/>
          <cell r="V333" t="str">
            <v>IG_PROD</v>
          </cell>
          <cell r="W333">
            <v>33</v>
          </cell>
          <cell r="X333">
            <v>0</v>
          </cell>
          <cell r="Y333" t="str">
            <v>K/1</v>
          </cell>
          <cell r="Z333">
            <v>0</v>
          </cell>
          <cell r="AA333" t="str">
            <v>Ya</v>
          </cell>
          <cell r="AB333" t="str">
            <v>Ya</v>
          </cell>
          <cell r="AC333" t="str">
            <v>Ya</v>
          </cell>
        </row>
        <row r="334">
          <cell r="B334" t="str">
            <v>60285</v>
          </cell>
          <cell r="C334" t="str">
            <v>Eko Nedianto</v>
          </cell>
          <cell r="D334" t="str">
            <v>Kepunten RT.4 RW.4 Kel. Kepunten - Kec. Tulangan</v>
          </cell>
          <cell r="E334" t="str">
            <v>Sidoarjo</v>
          </cell>
          <cell r="F334"/>
          <cell r="G334" t="str">
            <v>3515091002660001</v>
          </cell>
          <cell r="H334" t="str">
            <v>085784397910</v>
          </cell>
          <cell r="I334">
            <v>44933</v>
          </cell>
          <cell r="J334">
            <v>24382</v>
          </cell>
          <cell r="K334"/>
          <cell r="L334" t="str">
            <v>Islam</v>
          </cell>
          <cell r="M334" t="str">
            <v>Sidoarjo</v>
          </cell>
          <cell r="N334" t="str">
            <v>R &amp; D</v>
          </cell>
          <cell r="O334" t="str">
            <v>R &amp; D</v>
          </cell>
          <cell r="P334" t="str">
            <v>Staf Equel To Kabag</v>
          </cell>
          <cell r="Q334" t="str">
            <v>III</v>
          </cell>
          <cell r="R334" t="str">
            <v>Shift</v>
          </cell>
          <cell r="S334" t="str">
            <v>Aktif</v>
          </cell>
          <cell r="T334" t="str">
            <v>NS2</v>
          </cell>
          <cell r="U334"/>
          <cell r="V334" t="str">
            <v>IG_ GA</v>
          </cell>
          <cell r="W334">
            <v>60</v>
          </cell>
          <cell r="X334">
            <v>29</v>
          </cell>
          <cell r="Y334" t="str">
            <v>K/0</v>
          </cell>
          <cell r="Z334">
            <v>3</v>
          </cell>
          <cell r="AA334" t="str">
            <v>Ya</v>
          </cell>
          <cell r="AB334" t="str">
            <v>Ya</v>
          </cell>
          <cell r="AC334" t="str">
            <v>Ya</v>
          </cell>
        </row>
        <row r="335">
          <cell r="B335" t="str">
            <v>60338</v>
          </cell>
          <cell r="C335" t="str">
            <v>Sokhifah</v>
          </cell>
          <cell r="D335" t="str">
            <v>Sidorejo RT.21 RW.05 Sidorejo - Krian</v>
          </cell>
          <cell r="E335" t="str">
            <v>Sidoarjo</v>
          </cell>
          <cell r="F335"/>
          <cell r="G335" t="str">
            <v>3515116807710001</v>
          </cell>
          <cell r="H335" t="str">
            <v>081330962802</v>
          </cell>
          <cell r="I335">
            <v>44933</v>
          </cell>
          <cell r="J335" t="e">
            <v>#VALUE!</v>
          </cell>
          <cell r="K335"/>
          <cell r="L335" t="str">
            <v>Islam</v>
          </cell>
          <cell r="M335" t="str">
            <v>Sidoarjo</v>
          </cell>
          <cell r="N335" t="str">
            <v>R &amp; D</v>
          </cell>
          <cell r="O335" t="str">
            <v>R &amp; D</v>
          </cell>
          <cell r="P335" t="str">
            <v>Adm (pelaksana)</v>
          </cell>
          <cell r="Q335" t="str">
            <v>A4</v>
          </cell>
          <cell r="R335" t="str">
            <v>Shift</v>
          </cell>
          <cell r="S335" t="str">
            <v>Aktif</v>
          </cell>
          <cell r="T335" t="str">
            <v>NS2</v>
          </cell>
          <cell r="U335"/>
          <cell r="V335" t="str">
            <v>IG_ GA</v>
          </cell>
          <cell r="W335">
            <v>54</v>
          </cell>
          <cell r="X335">
            <v>29</v>
          </cell>
          <cell r="Y335" t="str">
            <v>T/0</v>
          </cell>
          <cell r="Z335">
            <v>3</v>
          </cell>
          <cell r="AA335" t="str">
            <v>Ya</v>
          </cell>
          <cell r="AB335" t="str">
            <v>Ya</v>
          </cell>
          <cell r="AC335" t="str">
            <v>Ya</v>
          </cell>
        </row>
        <row r="336">
          <cell r="B336" t="str">
            <v>60399</v>
          </cell>
          <cell r="C336" t="str">
            <v>Zainal Abidin</v>
          </cell>
          <cell r="D336" t="str">
            <v>Kedinding tengah 8-A / 34-A RT.10 RW.02 Tanah Kali Kedinding Kenjeran</v>
          </cell>
          <cell r="E336" t="str">
            <v>Surabaya</v>
          </cell>
          <cell r="F336" t="str">
            <v>031 - 3762092</v>
          </cell>
          <cell r="G336" t="str">
            <v>3578171906730001</v>
          </cell>
          <cell r="H336" t="str">
            <v>081216341710</v>
          </cell>
          <cell r="I336">
            <v>44933</v>
          </cell>
          <cell r="J336" t="e">
            <v>#VALUE!</v>
          </cell>
          <cell r="K336"/>
          <cell r="L336" t="str">
            <v>Islam</v>
          </cell>
          <cell r="M336" t="str">
            <v>Sidoarjo</v>
          </cell>
          <cell r="N336" t="str">
            <v>R &amp; D</v>
          </cell>
          <cell r="O336" t="str">
            <v>R &amp; D</v>
          </cell>
          <cell r="P336" t="str">
            <v>Staf Equel To Kabag</v>
          </cell>
          <cell r="Q336" t="str">
            <v>III</v>
          </cell>
          <cell r="R336" t="str">
            <v>Shift</v>
          </cell>
          <cell r="S336" t="str">
            <v>Aktif</v>
          </cell>
          <cell r="T336" t="str">
            <v>NS2</v>
          </cell>
          <cell r="U336"/>
          <cell r="V336" t="str">
            <v>IG_ GA</v>
          </cell>
          <cell r="W336">
            <v>53</v>
          </cell>
          <cell r="X336">
            <v>29</v>
          </cell>
          <cell r="Y336" t="str">
            <v>K/1</v>
          </cell>
          <cell r="Z336">
            <v>3</v>
          </cell>
          <cell r="AA336" t="str">
            <v>Ya</v>
          </cell>
          <cell r="AB336" t="str">
            <v>Ya</v>
          </cell>
          <cell r="AC336" t="str">
            <v>Ya</v>
          </cell>
        </row>
        <row r="337">
          <cell r="B337" t="str">
            <v>60574</v>
          </cell>
          <cell r="C337" t="str">
            <v>Aidil Pridiyah Singgih</v>
          </cell>
          <cell r="D337" t="str">
            <v>Perum GSA Blok F9/21 Kramat Jegu, Taman</v>
          </cell>
          <cell r="E337" t="str">
            <v>Sidoarjo</v>
          </cell>
          <cell r="F337"/>
          <cell r="G337" t="str">
            <v>3515081308830001</v>
          </cell>
          <cell r="H337" t="str">
            <v>089685464806</v>
          </cell>
          <cell r="I337">
            <v>44933</v>
          </cell>
          <cell r="J337" t="e">
            <v>#VALUE!</v>
          </cell>
          <cell r="K337"/>
          <cell r="L337" t="str">
            <v>Islam</v>
          </cell>
          <cell r="M337" t="str">
            <v>Sidoarjo</v>
          </cell>
          <cell r="N337" t="str">
            <v>R &amp; D</v>
          </cell>
          <cell r="O337" t="str">
            <v>Sekretariat QMM</v>
          </cell>
          <cell r="P337" t="str">
            <v>Adm.Equal Foreman</v>
          </cell>
          <cell r="Q337" t="str">
            <v>B1</v>
          </cell>
          <cell r="R337" t="str">
            <v>Shift</v>
          </cell>
          <cell r="S337" t="str">
            <v>Aktif</v>
          </cell>
          <cell r="T337" t="str">
            <v>NS2</v>
          </cell>
          <cell r="U337"/>
          <cell r="V337" t="str">
            <v>IG_ GA</v>
          </cell>
          <cell r="W337">
            <v>42</v>
          </cell>
          <cell r="X337">
            <v>22</v>
          </cell>
          <cell r="Y337" t="str">
            <v>K/2</v>
          </cell>
          <cell r="Z337">
            <v>3</v>
          </cell>
          <cell r="AA337" t="str">
            <v>Ya</v>
          </cell>
          <cell r="AB337" t="str">
            <v>Ya</v>
          </cell>
          <cell r="AC337" t="str">
            <v>Ya</v>
          </cell>
        </row>
        <row r="338">
          <cell r="B338" t="str">
            <v>60658</v>
          </cell>
          <cell r="C338" t="str">
            <v>Mulyadi</v>
          </cell>
          <cell r="D338" t="str">
            <v>Dsn. Peganggong RT.002 RW.001 Ketimang Kec. Wonoayu</v>
          </cell>
          <cell r="E338" t="str">
            <v>Sidoarjo</v>
          </cell>
          <cell r="F338"/>
          <cell r="G338" t="str">
            <v>3515132801790003</v>
          </cell>
          <cell r="H338" t="str">
            <v>082332556621</v>
          </cell>
          <cell r="I338">
            <v>44933</v>
          </cell>
          <cell r="J338" t="e">
            <v>#VALUE!</v>
          </cell>
          <cell r="K338"/>
          <cell r="L338" t="str">
            <v>Islam</v>
          </cell>
          <cell r="M338" t="str">
            <v>Sidoarjo</v>
          </cell>
          <cell r="N338" t="str">
            <v>R &amp; D</v>
          </cell>
          <cell r="O338" t="str">
            <v>R &amp; D</v>
          </cell>
          <cell r="P338" t="str">
            <v>Pelaksana</v>
          </cell>
          <cell r="Q338" t="str">
            <v>A4</v>
          </cell>
          <cell r="R338" t="str">
            <v>Shift</v>
          </cell>
          <cell r="S338" t="str">
            <v>Aktif</v>
          </cell>
          <cell r="T338" t="str">
            <v>NS2</v>
          </cell>
          <cell r="U338"/>
          <cell r="V338" t="str">
            <v>IG_ GA</v>
          </cell>
          <cell r="W338">
            <v>47</v>
          </cell>
          <cell r="X338">
            <v>16</v>
          </cell>
          <cell r="Y338" t="str">
            <v>K/2</v>
          </cell>
          <cell r="Z338">
            <v>3</v>
          </cell>
          <cell r="AA338" t="str">
            <v>Ya</v>
          </cell>
          <cell r="AB338" t="str">
            <v>Ya</v>
          </cell>
          <cell r="AC338" t="str">
            <v>Ya</v>
          </cell>
        </row>
        <row r="339">
          <cell r="B339" t="str">
            <v>60692</v>
          </cell>
          <cell r="C339" t="str">
            <v>Nur Wahyudi</v>
          </cell>
          <cell r="D339" t="str">
            <v>Dsn. Menyanggong Rt. 18 / Rw. 08 Ds. Kletek - Taman</v>
          </cell>
          <cell r="E339" t="str">
            <v>Sidoarjo</v>
          </cell>
          <cell r="F339"/>
          <cell r="G339" t="str">
            <v>3515131906820010</v>
          </cell>
          <cell r="H339" t="str">
            <v>085730353653</v>
          </cell>
          <cell r="I339">
            <v>44933</v>
          </cell>
          <cell r="J339" t="e">
            <v>#VALUE!</v>
          </cell>
          <cell r="K339"/>
          <cell r="L339" t="str">
            <v>Islam</v>
          </cell>
          <cell r="M339" t="str">
            <v>Sidoarjo</v>
          </cell>
          <cell r="N339" t="str">
            <v>R &amp; D</v>
          </cell>
          <cell r="O339" t="str">
            <v>R &amp; D</v>
          </cell>
          <cell r="P339" t="str">
            <v>Staf Equal To Spv</v>
          </cell>
          <cell r="Q339" t="str">
            <v>D1</v>
          </cell>
          <cell r="R339" t="str">
            <v>Shift</v>
          </cell>
          <cell r="S339" t="str">
            <v>Aktif</v>
          </cell>
          <cell r="T339" t="str">
            <v>NS2</v>
          </cell>
          <cell r="U339"/>
          <cell r="V339" t="str">
            <v>IG_ GA</v>
          </cell>
          <cell r="W339">
            <v>44</v>
          </cell>
          <cell r="X339">
            <v>14</v>
          </cell>
          <cell r="Y339" t="str">
            <v>K/1</v>
          </cell>
          <cell r="Z339">
            <v>3</v>
          </cell>
          <cell r="AA339" t="str">
            <v>Ya</v>
          </cell>
          <cell r="AB339" t="str">
            <v>Ya</v>
          </cell>
          <cell r="AC339" t="str">
            <v>Ya</v>
          </cell>
        </row>
        <row r="340">
          <cell r="B340" t="str">
            <v>60764</v>
          </cell>
          <cell r="C340" t="str">
            <v>Yohana Fransisca Gani</v>
          </cell>
          <cell r="D340" t="str">
            <v>Bukit telaga golf TA-6 / 35 Newton Hill  Citraland RT.01 RW.04 Kel. Jeruk  Lakar Santri</v>
          </cell>
          <cell r="E340" t="str">
            <v>Surabaya</v>
          </cell>
          <cell r="F340"/>
          <cell r="G340" t="str">
            <v>3578276012920001</v>
          </cell>
          <cell r="H340" t="str">
            <v>0811317894</v>
          </cell>
          <cell r="I340">
            <v>44933</v>
          </cell>
          <cell r="J340" t="e">
            <v>#VALUE!</v>
          </cell>
          <cell r="K340"/>
          <cell r="L340" t="str">
            <v>Kristen Katolik</v>
          </cell>
          <cell r="M340" t="str">
            <v>Sidoarjo</v>
          </cell>
          <cell r="N340" t="str">
            <v>R &amp; D</v>
          </cell>
          <cell r="O340" t="str">
            <v>R &amp; D</v>
          </cell>
          <cell r="P340" t="str">
            <v>Kabag.</v>
          </cell>
          <cell r="Q340" t="str">
            <v>III</v>
          </cell>
          <cell r="R340" t="str">
            <v>Shift</v>
          </cell>
          <cell r="S340" t="str">
            <v>Aktif</v>
          </cell>
          <cell r="T340" t="str">
            <v>NS2</v>
          </cell>
          <cell r="U340"/>
          <cell r="V340" t="str">
            <v>IG_ GA</v>
          </cell>
          <cell r="W340">
            <v>33</v>
          </cell>
          <cell r="X340">
            <v>8</v>
          </cell>
          <cell r="Y340" t="str">
            <v>T/0</v>
          </cell>
          <cell r="Z340">
            <v>3</v>
          </cell>
          <cell r="AA340" t="str">
            <v>Ya</v>
          </cell>
          <cell r="AB340" t="str">
            <v>Ya</v>
          </cell>
          <cell r="AC340" t="str">
            <v>Ya</v>
          </cell>
        </row>
        <row r="341">
          <cell r="B341" t="str">
            <v>60941</v>
          </cell>
          <cell r="C341" t="str">
            <v>Goldinike Darmasetiawan</v>
          </cell>
          <cell r="D341" t="str">
            <v>Bukit Cimanggu City Blok O8B No.6, Rt.04 Rw.14 Ds. Cibadak Kec. Tanah Sareal Kab. Bogor   (16166)</v>
          </cell>
          <cell r="E341" t="str">
            <v>Bogor</v>
          </cell>
          <cell r="F341"/>
          <cell r="G341" t="str">
            <v>3201306502810001</v>
          </cell>
          <cell r="H341" t="str">
            <v>081311127678</v>
          </cell>
          <cell r="I341" t="e">
            <v>#VALUE!</v>
          </cell>
          <cell r="J341" t="e">
            <v>#VALUE!</v>
          </cell>
          <cell r="K341"/>
          <cell r="L341" t="str">
            <v>Kristen Katolik</v>
          </cell>
          <cell r="M341" t="str">
            <v>Sidoarjo</v>
          </cell>
          <cell r="N341" t="str">
            <v>R &amp; D</v>
          </cell>
          <cell r="O341" t="str">
            <v>R &amp; D</v>
          </cell>
          <cell r="P341" t="str">
            <v>Manager</v>
          </cell>
          <cell r="Q341" t="str">
            <v>II</v>
          </cell>
          <cell r="R341" t="str">
            <v>Shift</v>
          </cell>
          <cell r="S341" t="str">
            <v>Aktif</v>
          </cell>
          <cell r="T341" t="str">
            <v>NS2</v>
          </cell>
          <cell r="U341"/>
          <cell r="V341" t="str">
            <v>IG_ GA</v>
          </cell>
          <cell r="W341">
            <v>45</v>
          </cell>
          <cell r="X341">
            <v>0</v>
          </cell>
          <cell r="Y341" t="str">
            <v>T/0</v>
          </cell>
          <cell r="Z341">
            <v>0</v>
          </cell>
          <cell r="AA341" t="str">
            <v>Ya</v>
          </cell>
          <cell r="AB341" t="str">
            <v>Ya</v>
          </cell>
          <cell r="AC341" t="str">
            <v>Ya</v>
          </cell>
        </row>
        <row r="342">
          <cell r="B342" t="str">
            <v>60945</v>
          </cell>
          <cell r="C342" t="str">
            <v>Verena Angelica Anthonijs</v>
          </cell>
          <cell r="D342" t="str">
            <v>Tenggilis Mejoyo Selatan 2/2 Kel. Tenggilis Mejoyo, Kec. Tenggilis Mejoyo, Kab. Surabaya (60292)</v>
          </cell>
          <cell r="E342" t="str">
            <v>Surabaya</v>
          </cell>
          <cell r="F342"/>
          <cell r="G342" t="str">
            <v>3578246905040001</v>
          </cell>
          <cell r="H342" t="str">
            <v>085931365655</v>
          </cell>
          <cell r="I342">
            <v>46059</v>
          </cell>
          <cell r="J342" t="e">
            <v>#VALUE!</v>
          </cell>
          <cell r="K342"/>
          <cell r="L342" t="str">
            <v>Kristen Katolik</v>
          </cell>
          <cell r="M342" t="str">
            <v>Sidoarjo</v>
          </cell>
          <cell r="N342" t="str">
            <v>R &amp; D</v>
          </cell>
          <cell r="O342" t="str">
            <v>R &amp; D</v>
          </cell>
          <cell r="P342" t="str">
            <v>Pelaksana</v>
          </cell>
          <cell r="Q342" t="str">
            <v>A1</v>
          </cell>
          <cell r="R342" t="str">
            <v>Shift</v>
          </cell>
          <cell r="S342" t="str">
            <v>Aktif</v>
          </cell>
          <cell r="T342" t="str">
            <v>NS2</v>
          </cell>
          <cell r="U342"/>
          <cell r="V342" t="str">
            <v>IG_ GA</v>
          </cell>
          <cell r="W342">
            <v>22</v>
          </cell>
          <cell r="X342">
            <v>0</v>
          </cell>
          <cell r="Y342" t="str">
            <v>T/0</v>
          </cell>
          <cell r="Z342">
            <v>0</v>
          </cell>
          <cell r="AA342" t="str">
            <v>Ya</v>
          </cell>
          <cell r="AB342" t="str">
            <v>Ya</v>
          </cell>
          <cell r="AC342" t="str">
            <v>Ya</v>
          </cell>
        </row>
        <row r="343">
          <cell r="B343" t="str">
            <v>60947</v>
          </cell>
          <cell r="C343" t="str">
            <v>Muchammad Musthofa</v>
          </cell>
          <cell r="D343" t="str">
            <v>Panjunan Rt.12 Rw.03 Panjunan, Kec. Sukodono, Kab. Sidoarjo (61258)</v>
          </cell>
          <cell r="E343" t="str">
            <v>Sidoarjo</v>
          </cell>
          <cell r="F343"/>
          <cell r="G343" t="str">
            <v>3515130810930005</v>
          </cell>
          <cell r="H343" t="str">
            <v>085733273355</v>
          </cell>
          <cell r="I343" t="e">
            <v>#VALUE!</v>
          </cell>
          <cell r="J343">
            <v>34191</v>
          </cell>
          <cell r="K343"/>
          <cell r="L343" t="str">
            <v>Islam</v>
          </cell>
          <cell r="M343" t="str">
            <v>Sidoarjo</v>
          </cell>
          <cell r="N343" t="str">
            <v>R &amp; D</v>
          </cell>
          <cell r="O343" t="str">
            <v>R &amp; D</v>
          </cell>
          <cell r="P343" t="str">
            <v>Pelaksana</v>
          </cell>
          <cell r="Q343" t="str">
            <v>A1</v>
          </cell>
          <cell r="R343" t="str">
            <v>Shift</v>
          </cell>
          <cell r="S343" t="str">
            <v>Aktif</v>
          </cell>
          <cell r="T343" t="str">
            <v>NS2</v>
          </cell>
          <cell r="U343"/>
          <cell r="V343" t="str">
            <v>IG_ GA</v>
          </cell>
          <cell r="W343">
            <v>32</v>
          </cell>
          <cell r="X343">
            <v>0</v>
          </cell>
          <cell r="Y343" t="str">
            <v>K/0</v>
          </cell>
          <cell r="Z343">
            <v>0</v>
          </cell>
          <cell r="AA343" t="str">
            <v>Ya</v>
          </cell>
          <cell r="AB343" t="str">
            <v>Ya</v>
          </cell>
          <cell r="AC343" t="str">
            <v>Ya</v>
          </cell>
        </row>
        <row r="344">
          <cell r="B344" t="str">
            <v>70041</v>
          </cell>
          <cell r="C344" t="str">
            <v>Alfinah</v>
          </cell>
          <cell r="D344" t="str">
            <v>Perum Graha Permata Sidorejo Indah Jl.Pirus 2 / Blok P, No.23 Rt.51/Rw.10 Sidorejo Krian</v>
          </cell>
          <cell r="E344" t="str">
            <v>Sidoarjo</v>
          </cell>
          <cell r="F344"/>
          <cell r="G344" t="str">
            <v>3578045303690004</v>
          </cell>
          <cell r="H344" t="str">
            <v>081231329444</v>
          </cell>
          <cell r="I344">
            <v>44933</v>
          </cell>
          <cell r="J344" t="e">
            <v>#VALUE!</v>
          </cell>
          <cell r="K344"/>
          <cell r="L344" t="str">
            <v>Islam</v>
          </cell>
          <cell r="M344" t="str">
            <v>Sidoarjo</v>
          </cell>
          <cell r="N344" t="str">
            <v>Finance&amp;Accounting</v>
          </cell>
          <cell r="O344" t="str">
            <v>Accounting</v>
          </cell>
          <cell r="P344" t="str">
            <v>Staf Equel To Kabag</v>
          </cell>
          <cell r="Q344" t="str">
            <v>III</v>
          </cell>
          <cell r="R344" t="str">
            <v>Shift</v>
          </cell>
          <cell r="S344" t="str">
            <v>Aktif</v>
          </cell>
          <cell r="T344" t="str">
            <v>NS2</v>
          </cell>
          <cell r="U344"/>
          <cell r="V344" t="str">
            <v>IG_ GA</v>
          </cell>
          <cell r="W344">
            <v>57</v>
          </cell>
          <cell r="X344">
            <v>34</v>
          </cell>
          <cell r="Y344" t="str">
            <v>T/0</v>
          </cell>
          <cell r="Z344">
            <v>3</v>
          </cell>
          <cell r="AA344" t="str">
            <v>Ya</v>
          </cell>
          <cell r="AB344" t="str">
            <v>Ya</v>
          </cell>
          <cell r="AC344" t="str">
            <v>Ya</v>
          </cell>
        </row>
        <row r="345">
          <cell r="B345" t="str">
            <v>70059</v>
          </cell>
          <cell r="C345" t="str">
            <v>Dra.Sri Panggieh</v>
          </cell>
          <cell r="D345" t="str">
            <v>Sekawan Elok 3 B4 No.145 RT.32 RW.5 Kel. Bulusidokare Kec. Sidoarjo</v>
          </cell>
          <cell r="E345" t="str">
            <v>Sidoarjo</v>
          </cell>
          <cell r="F345" t="str">
            <v>031 - 8058020</v>
          </cell>
          <cell r="G345" t="str">
            <v>3515085905690003</v>
          </cell>
          <cell r="H345" t="str">
            <v>081357614992</v>
          </cell>
          <cell r="I345">
            <v>44933</v>
          </cell>
          <cell r="J345" t="e">
            <v>#VALUE!</v>
          </cell>
          <cell r="K345"/>
          <cell r="L345" t="str">
            <v>Kristen Katolik</v>
          </cell>
          <cell r="M345" t="str">
            <v>Sidoarjo</v>
          </cell>
          <cell r="N345" t="str">
            <v>Finance&amp;Accounting</v>
          </cell>
          <cell r="O345" t="str">
            <v>Accounting</v>
          </cell>
          <cell r="P345" t="str">
            <v>Staf Equel To Kabag</v>
          </cell>
          <cell r="Q345" t="str">
            <v>III</v>
          </cell>
          <cell r="R345" t="str">
            <v>Shift</v>
          </cell>
          <cell r="S345" t="str">
            <v>Aktif</v>
          </cell>
          <cell r="T345" t="str">
            <v>NS2</v>
          </cell>
          <cell r="U345"/>
          <cell r="V345" t="str">
            <v>IG_ GA</v>
          </cell>
          <cell r="W345">
            <v>57</v>
          </cell>
          <cell r="X345">
            <v>33</v>
          </cell>
          <cell r="Y345" t="str">
            <v>T/0</v>
          </cell>
          <cell r="Z345">
            <v>3</v>
          </cell>
          <cell r="AA345" t="str">
            <v>Ya</v>
          </cell>
          <cell r="AB345" t="str">
            <v>Ya</v>
          </cell>
          <cell r="AC345" t="str">
            <v>Ya</v>
          </cell>
        </row>
        <row r="346">
          <cell r="B346" t="str">
            <v>70085</v>
          </cell>
          <cell r="C346" t="str">
            <v>Elvi Puspasari Oetama</v>
          </cell>
          <cell r="D346" t="str">
            <v>Krampung 2/20E</v>
          </cell>
          <cell r="E346" t="str">
            <v>Surabaya</v>
          </cell>
          <cell r="F346" t="str">
            <v>031 - 3537132</v>
          </cell>
          <cell r="G346" t="str">
            <v>3578154504710006</v>
          </cell>
          <cell r="H346" t="str">
            <v>085257047446</v>
          </cell>
          <cell r="I346">
            <v>44933</v>
          </cell>
          <cell r="J346">
            <v>26057</v>
          </cell>
          <cell r="K346"/>
          <cell r="L346" t="str">
            <v>Kristen Katolik</v>
          </cell>
          <cell r="M346" t="str">
            <v>Sidoarjo</v>
          </cell>
          <cell r="N346" t="str">
            <v>Finance&amp;Accounting</v>
          </cell>
          <cell r="O346" t="str">
            <v>Accounting</v>
          </cell>
          <cell r="P346" t="str">
            <v>Manager</v>
          </cell>
          <cell r="Q346" t="str">
            <v>II</v>
          </cell>
          <cell r="R346" t="str">
            <v>Shift</v>
          </cell>
          <cell r="S346" t="str">
            <v>Aktif</v>
          </cell>
          <cell r="T346" t="str">
            <v>NS2</v>
          </cell>
          <cell r="U346"/>
          <cell r="V346" t="str">
            <v>IG_ GA</v>
          </cell>
          <cell r="W346">
            <v>55</v>
          </cell>
          <cell r="X346">
            <v>34</v>
          </cell>
          <cell r="Y346" t="str">
            <v>T/0</v>
          </cell>
          <cell r="Z346">
            <v>3</v>
          </cell>
          <cell r="AA346" t="str">
            <v>Ya</v>
          </cell>
          <cell r="AB346" t="str">
            <v>Ya</v>
          </cell>
          <cell r="AC346" t="str">
            <v>Ya</v>
          </cell>
        </row>
        <row r="347">
          <cell r="B347" t="str">
            <v>70428</v>
          </cell>
          <cell r="C347" t="str">
            <v>Lusiana Irawati</v>
          </cell>
          <cell r="D347" t="str">
            <v>Perum Forest Mansion, Cluster Tropical A-23 Rt.01 Rw.02 Lidah Wetan, Lakar Santri</v>
          </cell>
          <cell r="E347" t="str">
            <v>Surabaya</v>
          </cell>
          <cell r="F347" t="str">
            <v>031 - 7668684</v>
          </cell>
          <cell r="G347" t="str">
            <v>3578016203740001</v>
          </cell>
          <cell r="H347" t="str">
            <v>08155226148 / 089608997299</v>
          </cell>
          <cell r="I347">
            <v>44933</v>
          </cell>
          <cell r="J347" t="e">
            <v>#VALUE!</v>
          </cell>
          <cell r="K347"/>
          <cell r="L347" t="str">
            <v>Kristen Protestan</v>
          </cell>
          <cell r="M347" t="str">
            <v>Sidoarjo</v>
          </cell>
          <cell r="N347" t="str">
            <v>Finance&amp;Accounting</v>
          </cell>
          <cell r="O347" t="str">
            <v>Finance</v>
          </cell>
          <cell r="P347" t="str">
            <v>Manager</v>
          </cell>
          <cell r="Q347" t="str">
            <v>II</v>
          </cell>
          <cell r="R347" t="str">
            <v>Shift</v>
          </cell>
          <cell r="S347" t="str">
            <v>Aktif</v>
          </cell>
          <cell r="T347" t="str">
            <v>NS2</v>
          </cell>
          <cell r="U347"/>
          <cell r="V347" t="str">
            <v>IG_ GA</v>
          </cell>
          <cell r="W347">
            <v>52</v>
          </cell>
          <cell r="X347">
            <v>29</v>
          </cell>
          <cell r="Y347" t="str">
            <v>T/0</v>
          </cell>
          <cell r="Z347">
            <v>3</v>
          </cell>
          <cell r="AA347" t="str">
            <v>Ya</v>
          </cell>
          <cell r="AB347" t="str">
            <v>Ya</v>
          </cell>
          <cell r="AC347" t="str">
            <v>Ya</v>
          </cell>
        </row>
        <row r="348">
          <cell r="B348" t="str">
            <v>70782</v>
          </cell>
          <cell r="C348" t="str">
            <v>Yani Ayu Nur Hamidia, S.Ak.</v>
          </cell>
          <cell r="D348" t="str">
            <v>Mojosantren Rt.10 Rw.03 Kemasan Krian</v>
          </cell>
          <cell r="E348" t="str">
            <v>Sidoarjo</v>
          </cell>
          <cell r="F348"/>
          <cell r="G348" t="str">
            <v>3515114701970004</v>
          </cell>
          <cell r="H348" t="str">
            <v>085735259867</v>
          </cell>
          <cell r="I348">
            <v>44933</v>
          </cell>
          <cell r="J348">
            <v>35612</v>
          </cell>
          <cell r="K348"/>
          <cell r="L348" t="str">
            <v>Islam</v>
          </cell>
          <cell r="M348" t="str">
            <v>Sidoarjo</v>
          </cell>
          <cell r="N348" t="str">
            <v>Finance&amp;Accounting</v>
          </cell>
          <cell r="O348" t="str">
            <v>Finance</v>
          </cell>
          <cell r="P348" t="str">
            <v>Staf Equel To Kabag</v>
          </cell>
          <cell r="Q348" t="str">
            <v>III</v>
          </cell>
          <cell r="R348" t="str">
            <v>Shift</v>
          </cell>
          <cell r="S348" t="str">
            <v>Aktif</v>
          </cell>
          <cell r="T348" t="str">
            <v>NS2</v>
          </cell>
          <cell r="U348"/>
          <cell r="V348" t="str">
            <v>IG_ GA</v>
          </cell>
          <cell r="W348">
            <v>29</v>
          </cell>
          <cell r="X348">
            <v>6</v>
          </cell>
          <cell r="Y348" t="str">
            <v>T/0</v>
          </cell>
          <cell r="Z348">
            <v>3</v>
          </cell>
          <cell r="AA348" t="str">
            <v>Ya</v>
          </cell>
          <cell r="AB348" t="str">
            <v>Ya</v>
          </cell>
          <cell r="AC348" t="str">
            <v>Ya</v>
          </cell>
        </row>
        <row r="349">
          <cell r="B349" t="str">
            <v>70809</v>
          </cell>
          <cell r="C349" t="str">
            <v>Elsa Widiyana Wati</v>
          </cell>
          <cell r="D349" t="str">
            <v>Perumahan Griya Samudra Asri Blok E3 No.31 RT.011 RW.010 Kramatjegu, Taman</v>
          </cell>
          <cell r="E349" t="str">
            <v>Sidoarjo</v>
          </cell>
          <cell r="F349"/>
          <cell r="G349" t="str">
            <v>3403095906960001</v>
          </cell>
          <cell r="H349" t="str">
            <v>081807905561</v>
          </cell>
          <cell r="I349">
            <v>44933</v>
          </cell>
          <cell r="J349" t="e">
            <v>#VALUE!</v>
          </cell>
          <cell r="K349"/>
          <cell r="L349" t="str">
            <v>Islam</v>
          </cell>
          <cell r="M349" t="str">
            <v>Sidoarjo</v>
          </cell>
          <cell r="N349" t="str">
            <v>Finance&amp;Accounting</v>
          </cell>
          <cell r="O349" t="str">
            <v>Finance</v>
          </cell>
          <cell r="P349" t="str">
            <v>Staf Equel To Kabag</v>
          </cell>
          <cell r="Q349" t="str">
            <v>III</v>
          </cell>
          <cell r="R349" t="str">
            <v>Shift</v>
          </cell>
          <cell r="S349" t="str">
            <v>Aktif</v>
          </cell>
          <cell r="T349" t="str">
            <v>NS2</v>
          </cell>
          <cell r="U349"/>
          <cell r="V349" t="str">
            <v>IG_ GA</v>
          </cell>
          <cell r="W349">
            <v>30</v>
          </cell>
          <cell r="X349">
            <v>6</v>
          </cell>
          <cell r="Y349" t="str">
            <v>T/0</v>
          </cell>
          <cell r="Z349">
            <v>3</v>
          </cell>
          <cell r="AA349" t="str">
            <v>Ya</v>
          </cell>
          <cell r="AB349" t="str">
            <v>Ya</v>
          </cell>
          <cell r="AC349" t="str">
            <v>Ya</v>
          </cell>
        </row>
        <row r="350">
          <cell r="B350" t="str">
            <v>70846</v>
          </cell>
          <cell r="C350" t="str">
            <v>Amelia Sholikhah</v>
          </cell>
          <cell r="D350" t="str">
            <v>Talun Brak Dusun Talunbrak RT.01 RW.01 Talunblandong - Dawarblandong</v>
          </cell>
          <cell r="E350" t="str">
            <v>Mojokerto -61354</v>
          </cell>
          <cell r="F350"/>
          <cell r="G350" t="str">
            <v>3517085711970003</v>
          </cell>
          <cell r="H350" t="str">
            <v>085735331235</v>
          </cell>
          <cell r="I350">
            <v>44933</v>
          </cell>
          <cell r="J350" t="e">
            <v>#VALUE!</v>
          </cell>
          <cell r="K350"/>
          <cell r="L350" t="str">
            <v>Islam</v>
          </cell>
          <cell r="M350" t="str">
            <v>Sidoarjo</v>
          </cell>
          <cell r="N350" t="str">
            <v>Finance&amp;Accounting</v>
          </cell>
          <cell r="O350" t="str">
            <v>Accounting</v>
          </cell>
          <cell r="P350" t="str">
            <v>Staf Equel To Kabag</v>
          </cell>
          <cell r="Q350" t="str">
            <v>III</v>
          </cell>
          <cell r="R350" t="str">
            <v>Shift</v>
          </cell>
          <cell r="S350" t="str">
            <v>Aktif</v>
          </cell>
          <cell r="T350" t="str">
            <v>NS2</v>
          </cell>
          <cell r="U350"/>
          <cell r="V350" t="str">
            <v>IG_ GA</v>
          </cell>
          <cell r="W350">
            <v>28</v>
          </cell>
          <cell r="X350">
            <v>5</v>
          </cell>
          <cell r="Y350" t="str">
            <v>T/0</v>
          </cell>
          <cell r="Z350">
            <v>3</v>
          </cell>
          <cell r="AA350" t="str">
            <v>Ya</v>
          </cell>
          <cell r="AB350" t="str">
            <v>Ya</v>
          </cell>
          <cell r="AC350" t="str">
            <v>Ya</v>
          </cell>
        </row>
        <row r="351">
          <cell r="B351" t="str">
            <v>70895</v>
          </cell>
          <cell r="C351" t="str">
            <v>Farah Jihan Nabilah</v>
          </cell>
          <cell r="D351" t="str">
            <v>Jl. Wiguna Selatan XIV No.03 Gunung Anyar - Gunung Anyar</v>
          </cell>
          <cell r="E351" t="str">
            <v>Surabaya</v>
          </cell>
          <cell r="F351"/>
          <cell r="G351" t="str">
            <v>3578105007990006</v>
          </cell>
          <cell r="H351" t="str">
            <v>088996534317</v>
          </cell>
          <cell r="I351" t="e">
            <v>#VALUE!</v>
          </cell>
          <cell r="J351">
            <v>36440</v>
          </cell>
          <cell r="K351"/>
          <cell r="L351" t="str">
            <v>Islam</v>
          </cell>
          <cell r="M351" t="str">
            <v>Sidoarjo</v>
          </cell>
          <cell r="N351" t="str">
            <v>Finance&amp;Accounting</v>
          </cell>
          <cell r="O351" t="str">
            <v>Finance</v>
          </cell>
          <cell r="P351" t="str">
            <v>Staf Equal To Spv</v>
          </cell>
          <cell r="Q351" t="str">
            <v>C2</v>
          </cell>
          <cell r="R351" t="str">
            <v>Shift</v>
          </cell>
          <cell r="S351" t="str">
            <v>Aktif</v>
          </cell>
          <cell r="T351" t="str">
            <v>NS2</v>
          </cell>
          <cell r="U351"/>
          <cell r="V351" t="str">
            <v>IG_ GA</v>
          </cell>
          <cell r="W351">
            <v>27</v>
          </cell>
          <cell r="X351">
            <v>2</v>
          </cell>
          <cell r="Y351" t="str">
            <v>T/0</v>
          </cell>
          <cell r="Z351">
            <v>2</v>
          </cell>
          <cell r="AA351" t="str">
            <v>Ya</v>
          </cell>
          <cell r="AB351" t="str">
            <v>Ya</v>
          </cell>
          <cell r="AC351" t="str">
            <v>Ya</v>
          </cell>
        </row>
        <row r="352">
          <cell r="B352" t="str">
            <v>70915</v>
          </cell>
          <cell r="C352" t="str">
            <v>Daryan Sugandhi</v>
          </cell>
          <cell r="D352" t="str">
            <v>Manyar Kertoarjo 3/12 SBY Rt.03 Rw.06 Kel. Manyar Sabrangan - Mulyorejo</v>
          </cell>
          <cell r="E352" t="str">
            <v>Kota Surabaya</v>
          </cell>
          <cell r="F352"/>
          <cell r="G352" t="str">
            <v>3578260301980001</v>
          </cell>
          <cell r="H352" t="str">
            <v>0811326336</v>
          </cell>
          <cell r="I352">
            <v>45302</v>
          </cell>
          <cell r="J352">
            <v>35855</v>
          </cell>
          <cell r="K352"/>
          <cell r="L352" t="str">
            <v>Kristen Protestan</v>
          </cell>
          <cell r="M352" t="str">
            <v>Sidoarjo</v>
          </cell>
          <cell r="N352" t="str">
            <v>Finance&amp;Accounting</v>
          </cell>
          <cell r="O352" t="str">
            <v>Finance</v>
          </cell>
          <cell r="P352" t="str">
            <v>Assistant Manager</v>
          </cell>
          <cell r="Q352" t="str">
            <v>II</v>
          </cell>
          <cell r="R352" t="str">
            <v>Shift</v>
          </cell>
          <cell r="S352" t="str">
            <v>Aktif</v>
          </cell>
          <cell r="T352" t="str">
            <v>NS2</v>
          </cell>
          <cell r="U352"/>
          <cell r="V352" t="str">
            <v>IG_ GA</v>
          </cell>
          <cell r="W352">
            <v>28</v>
          </cell>
          <cell r="X352">
            <v>1</v>
          </cell>
          <cell r="Y352" t="str">
            <v>K/0</v>
          </cell>
          <cell r="Z352">
            <v>1</v>
          </cell>
          <cell r="AA352" t="str">
            <v>Tidak</v>
          </cell>
          <cell r="AB352" t="str">
            <v>Tidak</v>
          </cell>
          <cell r="AC352" t="str">
            <v>Tidak</v>
          </cell>
        </row>
        <row r="353">
          <cell r="B353" t="str">
            <v>70944</v>
          </cell>
          <cell r="C353" t="str">
            <v>Mochammad Fahmi Akbar</v>
          </cell>
          <cell r="D353" t="str">
            <v>Perum Villa Sengkaling Blok E-41 Kel. Dau, Kec. Mulyoagung, Kab. Malang (65151)</v>
          </cell>
          <cell r="E353" t="str">
            <v>Malang</v>
          </cell>
          <cell r="F353"/>
          <cell r="G353" t="str">
            <v>3514132109960001</v>
          </cell>
          <cell r="H353" t="str">
            <v>082229466662</v>
          </cell>
          <cell r="I353">
            <v>46059</v>
          </cell>
          <cell r="J353" t="e">
            <v>#VALUE!</v>
          </cell>
          <cell r="K353"/>
          <cell r="L353" t="str">
            <v>Islam</v>
          </cell>
          <cell r="M353" t="str">
            <v>Sidoarjo</v>
          </cell>
          <cell r="N353" t="str">
            <v>Finance&amp;Accounting</v>
          </cell>
          <cell r="O353" t="str">
            <v>Accounting</v>
          </cell>
          <cell r="P353" t="str">
            <v>Staf Equel To Kabag</v>
          </cell>
          <cell r="Q353" t="str">
            <v>III</v>
          </cell>
          <cell r="R353" t="str">
            <v>Shift</v>
          </cell>
          <cell r="S353" t="str">
            <v>Aktif</v>
          </cell>
          <cell r="T353" t="str">
            <v>NS2</v>
          </cell>
          <cell r="U353"/>
          <cell r="V353" t="str">
            <v>IG_ GA</v>
          </cell>
          <cell r="W353">
            <v>29</v>
          </cell>
          <cell r="X353">
            <v>0</v>
          </cell>
          <cell r="Y353" t="str">
            <v>K/2</v>
          </cell>
          <cell r="Z353">
            <v>0</v>
          </cell>
          <cell r="AA353" t="str">
            <v>Tidak</v>
          </cell>
          <cell r="AB353" t="str">
            <v>Tidak</v>
          </cell>
          <cell r="AC353" t="str">
            <v>Tidak</v>
          </cell>
        </row>
        <row r="354">
          <cell r="B354" t="str">
            <v>80252</v>
          </cell>
          <cell r="C354" t="str">
            <v>Francisca</v>
          </cell>
          <cell r="D354" t="str">
            <v>Dharmahusada Indah Utara 10/2 U-81 RT 006 RW 008 Mulyorrejo-Mulyorejo</v>
          </cell>
          <cell r="E354" t="str">
            <v>Surabaya</v>
          </cell>
          <cell r="F354"/>
          <cell r="G354" t="str">
            <v>3578074408730001</v>
          </cell>
          <cell r="H354" t="str">
            <v>08123213161</v>
          </cell>
          <cell r="I354">
            <v>44933</v>
          </cell>
          <cell r="J354">
            <v>26762</v>
          </cell>
          <cell r="K354"/>
          <cell r="L354" t="str">
            <v>Kristen Protestan</v>
          </cell>
          <cell r="M354" t="str">
            <v>Sidoarjo</v>
          </cell>
          <cell r="N354" t="str">
            <v>Finance&amp;Accounting</v>
          </cell>
          <cell r="O354" t="str">
            <v>Information Technology</v>
          </cell>
          <cell r="P354" t="str">
            <v>Kabag.</v>
          </cell>
          <cell r="Q354" t="str">
            <v>III</v>
          </cell>
          <cell r="R354" t="str">
            <v>Shift</v>
          </cell>
          <cell r="S354" t="str">
            <v>Aktif</v>
          </cell>
          <cell r="T354" t="str">
            <v>NS2</v>
          </cell>
          <cell r="U354"/>
          <cell r="V354" t="str">
            <v>IG_ GA</v>
          </cell>
          <cell r="W354">
            <v>52</v>
          </cell>
          <cell r="X354">
            <v>29</v>
          </cell>
          <cell r="Y354" t="str">
            <v>T/0</v>
          </cell>
          <cell r="Z354">
            <v>3</v>
          </cell>
          <cell r="AA354" t="str">
            <v>Ya</v>
          </cell>
          <cell r="AB354" t="str">
            <v>Ya</v>
          </cell>
          <cell r="AC354" t="str">
            <v>Ya</v>
          </cell>
        </row>
        <row r="355">
          <cell r="B355" t="str">
            <v>80499</v>
          </cell>
          <cell r="C355" t="str">
            <v>Stephen Lesmana</v>
          </cell>
          <cell r="D355" t="str">
            <v>Greenwood E-9 / 6 Citraland Surabaya</v>
          </cell>
          <cell r="E355" t="str">
            <v>Surabaya</v>
          </cell>
          <cell r="F355" t="str">
            <v>5041911</v>
          </cell>
          <cell r="G355" t="str">
            <v>3578081307750001</v>
          </cell>
          <cell r="H355" t="str">
            <v>081216122950</v>
          </cell>
          <cell r="I355">
            <v>44933</v>
          </cell>
          <cell r="J355" t="e">
            <v>#VALUE!</v>
          </cell>
          <cell r="K355"/>
          <cell r="L355" t="str">
            <v>Kristen Katolik</v>
          </cell>
          <cell r="M355" t="str">
            <v>Sidoarjo</v>
          </cell>
          <cell r="N355" t="str">
            <v>Finance&amp;Accounting</v>
          </cell>
          <cell r="O355" t="str">
            <v>Information Technology</v>
          </cell>
          <cell r="P355" t="str">
            <v>Manager</v>
          </cell>
          <cell r="Q355" t="str">
            <v>II</v>
          </cell>
          <cell r="R355" t="str">
            <v>Shift</v>
          </cell>
          <cell r="S355" t="str">
            <v>Aktif</v>
          </cell>
          <cell r="T355" t="str">
            <v>NS2</v>
          </cell>
          <cell r="U355"/>
          <cell r="V355" t="str">
            <v>IG_ GA</v>
          </cell>
          <cell r="W355">
            <v>51</v>
          </cell>
          <cell r="X355">
            <v>28</v>
          </cell>
          <cell r="Y355" t="str">
            <v>K/2</v>
          </cell>
          <cell r="Z355">
            <v>3</v>
          </cell>
          <cell r="AA355" t="str">
            <v>Ya</v>
          </cell>
          <cell r="AB355" t="str">
            <v>Ya</v>
          </cell>
          <cell r="AC355" t="str">
            <v>Ya</v>
          </cell>
        </row>
        <row r="356">
          <cell r="B356" t="str">
            <v>80939</v>
          </cell>
          <cell r="C356" t="str">
            <v>Steven Hariyadi</v>
          </cell>
          <cell r="D356" t="str">
            <v>Jl. Siwalankerto Viii Cc8, Gayungan  Surabaya (60234)</v>
          </cell>
          <cell r="E356" t="str">
            <v>Surabaya</v>
          </cell>
          <cell r="F356"/>
          <cell r="G356" t="str">
            <v>3573042805030002</v>
          </cell>
          <cell r="H356" t="str">
            <v>081231924371</v>
          </cell>
          <cell r="I356" t="e">
            <v>#VALUE!</v>
          </cell>
          <cell r="J356" t="e">
            <v>#VALUE!</v>
          </cell>
          <cell r="K356"/>
          <cell r="L356" t="str">
            <v>Kristen Protestan</v>
          </cell>
          <cell r="M356" t="str">
            <v>Sidoarjo</v>
          </cell>
          <cell r="N356" t="str">
            <v>Finance&amp;Accounting</v>
          </cell>
          <cell r="O356" t="str">
            <v>Information Technology</v>
          </cell>
          <cell r="P356" t="str">
            <v>Staf Equal To Spv</v>
          </cell>
          <cell r="Q356" t="str">
            <v>C1</v>
          </cell>
          <cell r="R356" t="str">
            <v>Shift</v>
          </cell>
          <cell r="S356" t="str">
            <v>Aktif</v>
          </cell>
          <cell r="T356" t="str">
            <v>NS2</v>
          </cell>
          <cell r="U356"/>
          <cell r="V356" t="str">
            <v>IG_ GA</v>
          </cell>
          <cell r="W356">
            <v>23</v>
          </cell>
          <cell r="X356">
            <v>0</v>
          </cell>
          <cell r="Y356" t="str">
            <v>T/0</v>
          </cell>
          <cell r="Z356">
            <v>0</v>
          </cell>
          <cell r="AA356" t="str">
            <v>Ya</v>
          </cell>
          <cell r="AB356" t="str">
            <v>Ya</v>
          </cell>
          <cell r="AC356" t="str">
            <v>Ya</v>
          </cell>
        </row>
        <row r="357">
          <cell r="B357" t="str">
            <v>90207</v>
          </cell>
          <cell r="C357" t="str">
            <v>Drs. Handijanto T.</v>
          </cell>
          <cell r="D357" t="str">
            <v>Tomang Rawa Kepa IV / 697 Tomang Grogol Petamburan</v>
          </cell>
          <cell r="E357" t="str">
            <v>Jakarta Barat</v>
          </cell>
          <cell r="F357"/>
          <cell r="G357" t="str">
            <v>3173023006530004</v>
          </cell>
          <cell r="H357"/>
          <cell r="I357">
            <v>44933</v>
          </cell>
          <cell r="J357" t="e">
            <v>#VALUE!</v>
          </cell>
          <cell r="K357"/>
          <cell r="L357" t="str">
            <v>Kristen Katolik</v>
          </cell>
          <cell r="M357" t="str">
            <v>Jakarta</v>
          </cell>
          <cell r="N357" t="str">
            <v>Sales &amp; Marketing Jakarta</v>
          </cell>
          <cell r="O357" t="str">
            <v>Sales &amp; Marketing Jakarta</v>
          </cell>
          <cell r="P357" t="str">
            <v>Vice President</v>
          </cell>
          <cell r="Q357" t="str">
            <v>II</v>
          </cell>
          <cell r="R357" t="str">
            <v>Shift</v>
          </cell>
          <cell r="S357" t="str">
            <v>Aktif</v>
          </cell>
          <cell r="T357" t="str">
            <v>NS1</v>
          </cell>
          <cell r="U357"/>
          <cell r="V357" t="str">
            <v>Marketing</v>
          </cell>
          <cell r="W357">
            <v>73</v>
          </cell>
          <cell r="X357">
            <v>29</v>
          </cell>
          <cell r="Y357" t="str">
            <v>K/0</v>
          </cell>
          <cell r="Z357">
            <v>3</v>
          </cell>
          <cell r="AA357" t="str">
            <v>Tidak</v>
          </cell>
          <cell r="AB357" t="str">
            <v>Tidak</v>
          </cell>
          <cell r="AC357" t="str">
            <v>Tidak</v>
          </cell>
        </row>
        <row r="358">
          <cell r="B358" t="str">
            <v>90908</v>
          </cell>
          <cell r="C358" t="str">
            <v>Hariady</v>
          </cell>
          <cell r="D358" t="str">
            <v>Jl. Raden Saleh Rt.01 Rw.06 Karang Tengah, Karang Mulya</v>
          </cell>
          <cell r="E358" t="str">
            <v>Tangerang</v>
          </cell>
          <cell r="F358"/>
          <cell r="G358" t="str">
            <v>1971041511920001</v>
          </cell>
          <cell r="H358" t="str">
            <v>087889105788</v>
          </cell>
          <cell r="I358">
            <v>45385</v>
          </cell>
          <cell r="J358" t="e">
            <v>#VALUE!</v>
          </cell>
          <cell r="K358"/>
          <cell r="L358" t="str">
            <v>Budha</v>
          </cell>
          <cell r="M358" t="str">
            <v>Jakarta</v>
          </cell>
          <cell r="N358" t="str">
            <v>Sales &amp; Marketing Jakarta</v>
          </cell>
          <cell r="O358" t="str">
            <v>Sales &amp; Marketing Jakarta</v>
          </cell>
          <cell r="P358" t="str">
            <v>Assistant Manager</v>
          </cell>
          <cell r="Q358" t="str">
            <v>II</v>
          </cell>
          <cell r="R358" t="str">
            <v>Shift</v>
          </cell>
          <cell r="S358" t="str">
            <v>Aktif</v>
          </cell>
          <cell r="T358" t="str">
            <v>NS2</v>
          </cell>
          <cell r="U358"/>
          <cell r="V358" t="str">
            <v>Marketing</v>
          </cell>
          <cell r="W358">
            <v>33</v>
          </cell>
          <cell r="X358">
            <v>2</v>
          </cell>
          <cell r="Y358" t="str">
            <v>T/0</v>
          </cell>
          <cell r="Z358">
            <v>2</v>
          </cell>
          <cell r="AA358" t="str">
            <v>Ya</v>
          </cell>
          <cell r="AB358" t="str">
            <v>Ya</v>
          </cell>
          <cell r="AC358" t="str">
            <v>Ya</v>
          </cell>
        </row>
        <row r="359">
          <cell r="B359" t="str">
            <v>90910</v>
          </cell>
          <cell r="C359" t="str">
            <v>Linda Christanti</v>
          </cell>
          <cell r="D359" t="str">
            <v>Angsana IX D12/46, Kedoya Selatan, Kebon Jeruk</v>
          </cell>
          <cell r="E359" t="str">
            <v>DKI Jakarta</v>
          </cell>
          <cell r="F359"/>
          <cell r="G359" t="str">
            <v>3471044902930001</v>
          </cell>
          <cell r="H359" t="str">
            <v>082245706360</v>
          </cell>
          <cell r="I359" t="e">
            <v>#VALUE!</v>
          </cell>
          <cell r="J359">
            <v>34214</v>
          </cell>
          <cell r="K359"/>
          <cell r="L359" t="str">
            <v>Kristen Katolik</v>
          </cell>
          <cell r="M359" t="str">
            <v>Jakarta</v>
          </cell>
          <cell r="N359" t="str">
            <v>Sales &amp; Marketing Jakarta</v>
          </cell>
          <cell r="O359" t="str">
            <v>Sales &amp; Marketing Jakarta</v>
          </cell>
          <cell r="P359" t="str">
            <v>Assistant Manager</v>
          </cell>
          <cell r="Q359" t="str">
            <v>II</v>
          </cell>
          <cell r="R359" t="str">
            <v>Shift</v>
          </cell>
          <cell r="S359" t="str">
            <v>Aktif</v>
          </cell>
          <cell r="T359" t="str">
            <v>NS2</v>
          </cell>
          <cell r="U359"/>
          <cell r="V359" t="str">
            <v>Marketing</v>
          </cell>
          <cell r="W359">
            <v>33</v>
          </cell>
          <cell r="X359">
            <v>2</v>
          </cell>
          <cell r="Y359" t="str">
            <v>T/0</v>
          </cell>
          <cell r="Z359">
            <v>2</v>
          </cell>
          <cell r="AA359" t="str">
            <v>Tidak</v>
          </cell>
          <cell r="AB359" t="str">
            <v>Tidak</v>
          </cell>
          <cell r="AC359" t="str">
            <v>Tidak</v>
          </cell>
        </row>
        <row r="360">
          <cell r="B360" t="str">
            <v>90911</v>
          </cell>
          <cell r="C360" t="str">
            <v>Dhia Fauzan Rizaldy</v>
          </cell>
          <cell r="D360" t="str">
            <v>Perum Ciomas Permai Blok C26 No.3, Rt.03 Rw.10 Ciapus - Ciomas</v>
          </cell>
          <cell r="E360" t="str">
            <v>Bogor (16610)</v>
          </cell>
          <cell r="F360"/>
          <cell r="G360" t="str">
            <v>3201292805000004</v>
          </cell>
          <cell r="H360" t="str">
            <v>085156985582</v>
          </cell>
          <cell r="I360">
            <v>45358</v>
          </cell>
          <cell r="J360" t="e">
            <v>#VALUE!</v>
          </cell>
          <cell r="K360"/>
          <cell r="L360" t="str">
            <v>Islam</v>
          </cell>
          <cell r="M360" t="str">
            <v>Jakarta</v>
          </cell>
          <cell r="N360" t="str">
            <v>Sales &amp; Marketing Jakarta</v>
          </cell>
          <cell r="O360" t="str">
            <v>Sales &amp; Marketing Jakarta</v>
          </cell>
          <cell r="P360" t="str">
            <v>Staf Equal To Spv</v>
          </cell>
          <cell r="Q360" t="str">
            <v>C1</v>
          </cell>
          <cell r="R360" t="str">
            <v>Shift</v>
          </cell>
          <cell r="S360" t="str">
            <v>Aktif</v>
          </cell>
          <cell r="T360" t="str">
            <v>NS2</v>
          </cell>
          <cell r="U360"/>
          <cell r="V360" t="str">
            <v>Marketing</v>
          </cell>
          <cell r="W360">
            <v>26</v>
          </cell>
          <cell r="X360">
            <v>2</v>
          </cell>
          <cell r="Y360" t="str">
            <v>T/0</v>
          </cell>
          <cell r="Z360">
            <v>2</v>
          </cell>
          <cell r="AA360" t="str">
            <v>Ya</v>
          </cell>
          <cell r="AB360" t="str">
            <v>Ya</v>
          </cell>
          <cell r="AC360" t="str">
            <v>Ya</v>
          </cell>
        </row>
        <row r="361">
          <cell r="B361" t="str">
            <v>90921</v>
          </cell>
          <cell r="C361" t="str">
            <v>Christine</v>
          </cell>
          <cell r="D361" t="str">
            <v>Muara Karang Blok O.X.U No.49 Rt.09 Rw.13, Pluit - Penjaringan</v>
          </cell>
          <cell r="E361" t="str">
            <v>Jakarta Utara (14450)</v>
          </cell>
          <cell r="F361"/>
          <cell r="G361" t="str">
            <v>3172014503020006</v>
          </cell>
          <cell r="H361" t="str">
            <v>081806714818</v>
          </cell>
          <cell r="I361" t="e">
            <v>#VALUE!</v>
          </cell>
          <cell r="J361">
            <v>37379</v>
          </cell>
          <cell r="K361"/>
          <cell r="L361" t="str">
            <v>Kristen Protestan</v>
          </cell>
          <cell r="M361" t="str">
            <v>Jakarta</v>
          </cell>
          <cell r="N361" t="str">
            <v>Sales &amp; Marketing Jakarta</v>
          </cell>
          <cell r="O361" t="str">
            <v>Sales &amp; Marketing Jakarta</v>
          </cell>
          <cell r="P361" t="str">
            <v>Staf Equel To Kabag</v>
          </cell>
          <cell r="Q361" t="str">
            <v>III</v>
          </cell>
          <cell r="R361" t="str">
            <v>Shift</v>
          </cell>
          <cell r="S361" t="str">
            <v>Aktif</v>
          </cell>
          <cell r="T361" t="str">
            <v>NS2</v>
          </cell>
          <cell r="U361"/>
          <cell r="V361" t="str">
            <v>Marketing</v>
          </cell>
          <cell r="W361">
            <v>24</v>
          </cell>
          <cell r="X361">
            <v>1</v>
          </cell>
          <cell r="Y361" t="str">
            <v>T/0</v>
          </cell>
          <cell r="Z361">
            <v>1</v>
          </cell>
          <cell r="AA361" t="str">
            <v>Tidak</v>
          </cell>
          <cell r="AB361" t="str">
            <v>Tidak</v>
          </cell>
          <cell r="AC361" t="str">
            <v>Tidak</v>
          </cell>
        </row>
        <row r="362">
          <cell r="B362" t="str">
            <v>90932</v>
          </cell>
          <cell r="C362" t="str">
            <v>Juan Antoni Darmawan</v>
          </cell>
          <cell r="D362" t="str">
            <v>Jl. Malabar No.70 Ds. Guntur Kec. Setiabudi - Kota Jakarta Selatan - DKI Jakarta</v>
          </cell>
          <cell r="E362" t="str">
            <v>Jakarta Selatan  (12980)</v>
          </cell>
          <cell r="F362"/>
          <cell r="G362" t="str">
            <v>3273101812000001</v>
          </cell>
          <cell r="H362" t="str">
            <v>081321519522</v>
          </cell>
          <cell r="I362">
            <v>45669</v>
          </cell>
          <cell r="J362" t="e">
            <v>#VALUE!</v>
          </cell>
          <cell r="K362"/>
          <cell r="L362" t="str">
            <v>Kristen Katolik</v>
          </cell>
          <cell r="M362" t="str">
            <v>Jakarta</v>
          </cell>
          <cell r="N362" t="str">
            <v>Sales &amp; Marketing Jakarta</v>
          </cell>
          <cell r="O362" t="str">
            <v>Sales &amp; Marketing Jakarta</v>
          </cell>
          <cell r="P362" t="str">
            <v>Staf Equel To Kabag</v>
          </cell>
          <cell r="Q362" t="str">
            <v>III</v>
          </cell>
          <cell r="R362" t="str">
            <v>Shift</v>
          </cell>
          <cell r="S362" t="str">
            <v>Aktif</v>
          </cell>
          <cell r="T362" t="str">
            <v>NS2</v>
          </cell>
          <cell r="U362"/>
          <cell r="V362" t="str">
            <v>Marketing</v>
          </cell>
          <cell r="W362">
            <v>25</v>
          </cell>
          <cell r="X362">
            <v>0</v>
          </cell>
          <cell r="Y362" t="str">
            <v>T/0</v>
          </cell>
          <cell r="Z362">
            <v>0</v>
          </cell>
          <cell r="AA362" t="str">
            <v>Tidak</v>
          </cell>
          <cell r="AB362" t="str">
            <v>Tidak</v>
          </cell>
          <cell r="AC362" t="str">
            <v>Tidak</v>
          </cell>
        </row>
        <row r="363">
          <cell r="B363" t="str">
            <v>90934</v>
          </cell>
          <cell r="C363" t="str">
            <v>Alexandra Aubree Maharani Putri</v>
          </cell>
          <cell r="D363" t="str">
            <v>Jl. RC Veteran No.7 K Rt.03 Rw.11 Ds. Bintaro, Pesanggrahan Jakarta Selatan (12330)</v>
          </cell>
          <cell r="E363" t="str">
            <v>DKI Jakarta</v>
          </cell>
          <cell r="F363"/>
          <cell r="G363" t="str">
            <v>3174105406011001</v>
          </cell>
          <cell r="H363" t="str">
            <v>081808007977</v>
          </cell>
          <cell r="I363">
            <v>46143</v>
          </cell>
          <cell r="J363" t="e">
            <v>#VALUE!</v>
          </cell>
          <cell r="K363"/>
          <cell r="L363" t="str">
            <v>Kristen Katolik</v>
          </cell>
          <cell r="M363" t="str">
            <v>Jakarta</v>
          </cell>
          <cell r="N363" t="str">
            <v>Sales &amp; Marketing Jakarta</v>
          </cell>
          <cell r="O363" t="str">
            <v>Sales &amp; Marketing Jakarta</v>
          </cell>
          <cell r="P363" t="str">
            <v>Staf Equel To Kabag</v>
          </cell>
          <cell r="Q363" t="str">
            <v>III</v>
          </cell>
          <cell r="R363" t="str">
            <v>Shift</v>
          </cell>
          <cell r="S363" t="str">
            <v>Aktif</v>
          </cell>
          <cell r="T363" t="str">
            <v>NS2</v>
          </cell>
          <cell r="U363"/>
          <cell r="V363" t="str">
            <v>Marketing</v>
          </cell>
          <cell r="W363">
            <v>25</v>
          </cell>
          <cell r="X363">
            <v>0</v>
          </cell>
          <cell r="Y363" t="str">
            <v>T/0</v>
          </cell>
          <cell r="Z363">
            <v>0</v>
          </cell>
          <cell r="AA363" t="str">
            <v>Tidak</v>
          </cell>
          <cell r="AB363" t="str">
            <v>Tidak</v>
          </cell>
          <cell r="AC363" t="str">
            <v>Tidak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6EC181-77F9-4064-AAD0-9434C602680C}" name="Table2" displayName="Table2" ref="A1:V384" totalsRowShown="0">
  <autoFilter ref="A1:V384" xr:uid="{4F6EC181-77F9-4064-AAD0-9434C602680C}"/>
  <tableColumns count="22">
    <tableColumn id="1" xr3:uid="{1CA5D29C-6930-4D96-9826-9B56BA38317C}" name="ID Karyawan" dataDxfId="29"/>
    <tableColumn id="2" xr3:uid="{606F2AD6-134D-4260-84F0-5798418C0D99}" name="Nama Karyawan" dataDxfId="28"/>
    <tableColumn id="10" xr3:uid="{261C9546-1BDE-4B15-992B-9FEDB1C66EF1}" name="Tgl Lahir" dataDxfId="27"/>
    <tableColumn id="11" xr3:uid="{CB258AD1-4939-4163-989B-401CDBF31E3B}" name="Usia" dataDxfId="26">
      <calculatedColumnFormula>IF(Table2[[#This Row],[Tgl Lahir]]="","Unknown",DATEDIF(Table2[[#This Row],[Tgl Lahir]],TODAY(),"Y"))</calculatedColumnFormula>
    </tableColumn>
    <tableColumn id="16" xr3:uid="{1735B9E1-EA4F-4F68-BDE5-7E80EF034851}" name="Tgl Join" dataDxfId="25"/>
    <tableColumn id="17" xr3:uid="{2444403F-10E4-4B4B-9008-2857985CAD90}" name="Masa Kerja" dataDxfId="24">
      <calculatedColumnFormula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calculatedColumnFormula>
    </tableColumn>
    <tableColumn id="3" xr3:uid="{6DAE466E-B077-4D98-AEE2-D41739C16641}" name="Jabatan / Posisi"/>
    <tableColumn id="4" xr3:uid="{25016D71-430E-4415-9B30-8E90F6565AB7}" name="Departemen"/>
    <tableColumn id="9" xr3:uid="{05177AE2-84CA-4B14-A92A-D199C71A7D66}" name="Sub-Departemen"/>
    <tableColumn id="8" xr3:uid="{FB0F2E87-DF53-424E-A3A8-5FF4C9718971}" name="Section"/>
    <tableColumn id="5" xr3:uid="{B3D1128F-90BC-4C7A-87CD-CC92781D8CF9}" name="Unit" dataDxfId="23"/>
    <tableColumn id="12" xr3:uid="{ABDF891C-6A79-44B8-A949-D23A8727953F}" name="Hierarchy" dataDxfId="22">
      <calculatedColumnFormula>_xlfn.TEXTJOIN("/",TRUE,Table2[[#This Row],[Departemen]:[Unit]])</calculatedColumnFormula>
    </tableColumn>
    <tableColumn id="6" xr3:uid="{15C524DE-3207-4CB0-9868-43AB951B1E43}" name="Kode Posisi" dataDxfId="21">
      <calculatedColumnFormula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calculatedColumnFormula>
    </tableColumn>
    <tableColumn id="13" xr3:uid="{B615B5D0-3CAD-4C5C-9A03-231E97E26C38}" name="Atasan" dataDxfId="20"/>
    <tableColumn id="7" xr3:uid="{B262E791-1EC9-4786-B8E9-6EFCC1842345}" name="Kode Atasan Direct" dataDxfId="19">
      <calculatedColumnFormula>IFERROR(VLOOKUP(Table2[[#This Row],[Atasan]],Table2[[#All],[Hierarchy]:[Kode Posisi]],2,FALSE),"")</calculatedColumnFormula>
    </tableColumn>
    <tableColumn id="14" xr3:uid="{12B03492-0D77-4D3D-820C-B8882966106A}" name="Status Keanggotaan" dataDxfId="18"/>
    <tableColumn id="15" xr3:uid="{58A4703C-0B46-4314-845D-66F0DE7DE687}" name="Status Karyawan" dataDxfId="17"/>
    <tableColumn id="18" xr3:uid="{565F849C-E121-447E-BAF7-95802851E35F}" name="Email" dataDxfId="16"/>
    <tableColumn id="19" xr3:uid="{7BC42348-0B9A-4867-AC4E-E1D628808988}" name="Lokasi Kerja" dataDxfId="15">
      <calculatedColumnFormula>IFERROR(VLOOKUP(Table2[[#This Row],[ID Karyawan]],[1]!Table4[[#All],[Nik]:[Placement]],37,FALSE),"")</calculatedColumnFormula>
    </tableColumn>
    <tableColumn id="20" xr3:uid="{20C8ED91-3808-480E-8981-529CDA6C8DE6}" name="Pendidikan Terakhir" dataDxfId="14"/>
    <tableColumn id="22" xr3:uid="{5AEB30F6-9E6A-4DB0-B5D2-3B3F0DEF49F2}" name="Jurusan" dataDxfId="13"/>
    <tableColumn id="21" xr3:uid="{035544B4-1BB0-430A-9A42-CE5CB60AE178}" name="Alamater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02CA7A-74B3-4849-9FE4-A235C767C492}" name="Table22" displayName="Table22" ref="A1:J356" totalsRowShown="0">
  <autoFilter ref="A1:J356" xr:uid="{4F6EC181-77F9-4064-AAD0-9434C602680C}">
    <filterColumn colId="5">
      <filters>
        <filter val="Packing"/>
      </filters>
    </filterColumn>
  </autoFilter>
  <sortState xmlns:xlrd2="http://schemas.microsoft.com/office/spreadsheetml/2017/richdata2" ref="A102:J136">
    <sortCondition ref="C1:C356"/>
  </sortState>
  <tableColumns count="10">
    <tableColumn id="1" xr3:uid="{55FE4CEF-ECC7-4D2B-B27D-11F8500006A2}" name="ID Karyawan" dataDxfId="8"/>
    <tableColumn id="2" xr3:uid="{01F80088-C030-401A-8597-742E4B8C2BC7}" name="Nama Karyawan" dataDxfId="7"/>
    <tableColumn id="3" xr3:uid="{0FE9CF0B-8617-430F-95F0-7D370EF8A28D}" name="Jabatan / Posisi"/>
    <tableColumn id="4" xr3:uid="{4F68AB8B-364E-4874-87B1-800D872440B9}" name="Departemen"/>
    <tableColumn id="9" xr3:uid="{9D30A344-5782-4546-A5AA-EC8F88757C32}" name="Sub-Departemen"/>
    <tableColumn id="8" xr3:uid="{42049F0A-2C24-4CAA-AEBD-F8CEEE8F9DD1}" name="Section"/>
    <tableColumn id="5" xr3:uid="{84CC81D6-7292-46E3-ABB6-FDEF8B97B8ED}" name="Unit" dataDxfId="6"/>
    <tableColumn id="6" xr3:uid="{176FEDC3-E1E1-4C1D-B614-F2CFA58131E3}" name="Kode Posisi" dataDxfId="5">
      <calculatedColumnFormula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calculatedColumnFormula>
    </tableColumn>
    <tableColumn id="7" xr3:uid="{8EB6CC18-BB43-4005-B3A3-F39A967C9DB3}" name="Kode Atasan Direct"/>
    <tableColumn id="10" xr3:uid="{1B098910-AE38-41E3-B10A-E127CDAE0EA3}" name="Cek bagian" dataDxfId="4">
      <calculatedColumnFormula>VLOOKUP(Table22[[#This Row],[ID Karyawan]],[2]Sheet1!$B$4:$AC$363,13,FALSE)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10224B-EE7C-40E5-8833-7E2DA84BE246}" name="Table3" displayName="Table3" ref="A1:B15" totalsRowShown="0">
  <autoFilter ref="A1:B15" xr:uid="{6010224B-EE7C-40E5-8833-7E2DA84BE246}"/>
  <tableColumns count="2">
    <tableColumn id="1" xr3:uid="{B304368E-DE41-4C44-B012-4FCEFB3E7344}" name="Departemen"/>
    <tableColumn id="2" xr3:uid="{29B6BD0C-469A-4070-AEF7-F5DF2D3177C3}" name="Kode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03B57D-3080-472A-8196-7C006E82F991}" name="Table4" displayName="Table4" ref="D1:E16" totalsRowShown="0">
  <autoFilter ref="D1:E16" xr:uid="{5403B57D-3080-472A-8196-7C006E82F991}"/>
  <tableColumns count="2">
    <tableColumn id="1" xr3:uid="{264B169B-1DFC-4545-8750-3411E652F3E8}" name="Sub-Departemen"/>
    <tableColumn id="2" xr3:uid="{C5DB9AB8-1E29-467D-89B7-F4DBDC31D789}" name="Kode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8D78D6B-57F0-4B9F-A83A-B5D93F07CBFA}" name="Table5" displayName="Table5" ref="G1:H35" totalsRowShown="0">
  <autoFilter ref="G1:H35" xr:uid="{98D78D6B-57F0-4B9F-A83A-B5D93F07CBFA}"/>
  <tableColumns count="2">
    <tableColumn id="1" xr3:uid="{B373795A-440A-4AE5-BC1A-EB873A3C63CB}" name="Section"/>
    <tableColumn id="2" xr3:uid="{4123C859-8C3A-4CE0-AC61-130C4D37CDBE}" name="Kode" dataDxfId="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CC181C7-6539-432F-A5E6-2D9A160573CC}" name="Table6" displayName="Table6" ref="J1:K57" totalsRowShown="0">
  <autoFilter ref="J1:K57" xr:uid="{ACC181C7-6539-432F-A5E6-2D9A160573CC}"/>
  <tableColumns count="2">
    <tableColumn id="1" xr3:uid="{E7ECCF17-D980-4B64-9ADD-B76D1B12B728}" name="Unit"/>
    <tableColumn id="2" xr3:uid="{0B5C6031-EEF9-41D5-ADE2-39E962578670}" name="Ko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52786-68DD-44A1-9481-A398E79B3C6A}">
  <dimension ref="A1:V384"/>
  <sheetViews>
    <sheetView tabSelected="1" zoomScale="85" zoomScaleNormal="85" workbookViewId="0">
      <pane xSplit="3" ySplit="1" topLeftCell="N344" activePane="bottomRight" state="frozen"/>
      <selection pane="bottomRight" activeCell="P352" sqref="P352"/>
      <selection pane="bottomLeft" activeCell="A2" sqref="A2"/>
      <selection pane="topRight" activeCell="D1" sqref="D1"/>
    </sheetView>
  </sheetViews>
  <sheetFormatPr defaultRowHeight="15"/>
  <cols>
    <col min="1" max="1" width="14.140625" style="1" bestFit="1" customWidth="1"/>
    <col min="2" max="2" width="35.42578125" bestFit="1" customWidth="1"/>
    <col min="3" max="3" width="10.7109375" bestFit="1" customWidth="1"/>
    <col min="4" max="4" width="9.28515625" bestFit="1" customWidth="1"/>
    <col min="5" max="5" width="10.42578125" bestFit="1" customWidth="1"/>
    <col min="6" max="6" width="16.7109375" bestFit="1" customWidth="1"/>
    <col min="7" max="7" width="39.7109375" bestFit="1" customWidth="1"/>
    <col min="8" max="8" width="29.140625" bestFit="1" customWidth="1"/>
    <col min="9" max="9" width="38.28515625" bestFit="1" customWidth="1"/>
    <col min="10" max="10" width="31.140625" bestFit="1" customWidth="1"/>
    <col min="11" max="11" width="37.42578125" bestFit="1" customWidth="1"/>
    <col min="12" max="12" width="98.28515625" bestFit="1" customWidth="1"/>
    <col min="13" max="13" width="13.7109375" bestFit="1" customWidth="1"/>
    <col min="14" max="14" width="92.85546875" bestFit="1" customWidth="1"/>
    <col min="15" max="15" width="20.5703125" bestFit="1" customWidth="1"/>
    <col min="16" max="16" width="21.140625" bestFit="1" customWidth="1"/>
    <col min="17" max="17" width="18" bestFit="1" customWidth="1"/>
    <col min="18" max="18" width="23" bestFit="1" customWidth="1"/>
    <col min="19" max="19" width="14" bestFit="1" customWidth="1"/>
    <col min="20" max="20" width="21.28515625" bestFit="1" customWidth="1"/>
    <col min="21" max="21" width="33.42578125" bestFit="1" customWidth="1"/>
    <col min="22" max="22" width="58.7109375" bestFit="1" customWidth="1"/>
  </cols>
  <sheetData>
    <row r="1" spans="1:2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s="9" t="s">
        <v>24</v>
      </c>
      <c r="D2" t="str">
        <f ca="1">IF(Table2[[#This Row],[Tgl Lahir]]="","Unknown",DATEDIF(Table2[[#This Row],[Tgl Lahir]],TODAY(),"Y"))</f>
        <v>Unknown</v>
      </c>
      <c r="E2" s="9" t="s">
        <v>24</v>
      </c>
      <c r="F2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/>
      </c>
      <c r="G2" t="s">
        <v>25</v>
      </c>
      <c r="H2" t="s">
        <v>26</v>
      </c>
      <c r="L2" t="str">
        <f>_xlfn.TEXTJOIN("/",TRUE,Table2[[#This Row],[Departemen]:[Unit]])</f>
        <v>BOC</v>
      </c>
      <c r="M2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00-00-000-000</v>
      </c>
      <c r="O2" t="str">
        <f>IFERROR(VLOOKUP(Table2[[#This Row],[Atasan]],Table2[[#All],[Hierarchy]:[Kode Posisi]],2,FALSE),"")</f>
        <v/>
      </c>
      <c r="P2" t="s">
        <v>27</v>
      </c>
      <c r="S2" t="str">
        <f>IFERROR(VLOOKUP(Table2[[#This Row],[ID Karyawan]],[1]!Table4[[#All],[Nik]:[Placement]],37,FALSE),"")</f>
        <v/>
      </c>
      <c r="T2" t="s">
        <v>24</v>
      </c>
      <c r="U2" t="s">
        <v>24</v>
      </c>
      <c r="V2" t="s">
        <v>24</v>
      </c>
    </row>
    <row r="3" spans="1:22">
      <c r="A3" t="s">
        <v>28</v>
      </c>
      <c r="B3" t="s">
        <v>29</v>
      </c>
      <c r="C3" s="9" t="s">
        <v>24</v>
      </c>
      <c r="D3" t="str">
        <f ca="1">IF(Table2[[#This Row],[Tgl Lahir]]="","Unknown",DATEDIF(Table2[[#This Row],[Tgl Lahir]],TODAY(),"Y"))</f>
        <v>Unknown</v>
      </c>
      <c r="E3" s="9" t="s">
        <v>24</v>
      </c>
      <c r="F3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/>
      </c>
      <c r="G3" t="s">
        <v>30</v>
      </c>
      <c r="H3" t="s">
        <v>26</v>
      </c>
      <c r="L3" t="str">
        <f>_xlfn.TEXTJOIN("/",TRUE,Table2[[#This Row],[Departemen]:[Unit]])</f>
        <v>BOC</v>
      </c>
      <c r="M3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00-00-000-000</v>
      </c>
      <c r="O3" t="str">
        <f>IFERROR(VLOOKUP(Table2[[#This Row],[Atasan]],Table2[[#All],[Hierarchy]:[Kode Posisi]],2,FALSE),"")</f>
        <v/>
      </c>
      <c r="P3" t="s">
        <v>27</v>
      </c>
      <c r="S3" t="str">
        <f>IFERROR(VLOOKUP(Table2[[#This Row],[ID Karyawan]],[1]!Table4[[#All],[Nik]:[Placement]],37,FALSE),"")</f>
        <v/>
      </c>
      <c r="T3" t="s">
        <v>24</v>
      </c>
      <c r="U3" t="s">
        <v>24</v>
      </c>
      <c r="V3" t="s">
        <v>24</v>
      </c>
    </row>
    <row r="4" spans="1:22">
      <c r="A4" t="s">
        <v>31</v>
      </c>
      <c r="B4" t="s">
        <v>32</v>
      </c>
      <c r="C4" s="9" t="s">
        <v>24</v>
      </c>
      <c r="D4" t="str">
        <f ca="1">IF(Table2[[#This Row],[Tgl Lahir]]="","Unknown",DATEDIF(Table2[[#This Row],[Tgl Lahir]],TODAY(),"Y"))</f>
        <v>Unknown</v>
      </c>
      <c r="E4" s="9" t="s">
        <v>24</v>
      </c>
      <c r="F4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/>
      </c>
      <c r="G4" t="s">
        <v>30</v>
      </c>
      <c r="H4" t="s">
        <v>26</v>
      </c>
      <c r="L4" t="str">
        <f>_xlfn.TEXTJOIN("/",TRUE,Table2[[#This Row],[Departemen]:[Unit]])</f>
        <v>BOC</v>
      </c>
      <c r="M4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00-00-000-000</v>
      </c>
      <c r="O4" t="str">
        <f>IFERROR(VLOOKUP(Table2[[#This Row],[Atasan]],Table2[[#All],[Hierarchy]:[Kode Posisi]],2,FALSE),"")</f>
        <v/>
      </c>
      <c r="P4" t="s">
        <v>27</v>
      </c>
      <c r="S4" t="str">
        <f>IFERROR(VLOOKUP(Table2[[#This Row],[ID Karyawan]],[1]!Table4[[#All],[Nik]:[Placement]],37,FALSE),"")</f>
        <v/>
      </c>
      <c r="T4" t="s">
        <v>24</v>
      </c>
      <c r="U4" t="s">
        <v>24</v>
      </c>
      <c r="V4" t="s">
        <v>24</v>
      </c>
    </row>
    <row r="5" spans="1:22">
      <c r="A5" t="s">
        <v>33</v>
      </c>
      <c r="B5" t="s">
        <v>34</v>
      </c>
      <c r="C5" s="9" t="s">
        <v>24</v>
      </c>
      <c r="D5" t="str">
        <f ca="1">IF(Table2[[#This Row],[Tgl Lahir]]="","Unknown",DATEDIF(Table2[[#This Row],[Tgl Lahir]],TODAY(),"Y"))</f>
        <v>Unknown</v>
      </c>
      <c r="E5" s="9" t="s">
        <v>24</v>
      </c>
      <c r="F5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/>
      </c>
      <c r="G5" t="s">
        <v>35</v>
      </c>
      <c r="H5" t="s">
        <v>36</v>
      </c>
      <c r="L5" t="s">
        <v>36</v>
      </c>
      <c r="M5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01-00-000-000</v>
      </c>
      <c r="N5" t="s">
        <v>26</v>
      </c>
      <c r="O5" t="str">
        <f>IFERROR(VLOOKUP(Table2[[#This Row],[Atasan]],Table2[[#All],[Hierarchy]:[Kode Posisi]],2,FALSE),"")</f>
        <v>00-00-000-000</v>
      </c>
      <c r="P5" t="s">
        <v>27</v>
      </c>
      <c r="S5" t="str">
        <f>IFERROR(VLOOKUP(Table2[[#This Row],[ID Karyawan]],[1]!Table4[[#All],[Nik]:[Placement]],37,FALSE),"")</f>
        <v/>
      </c>
      <c r="T5" t="s">
        <v>24</v>
      </c>
      <c r="U5" t="s">
        <v>24</v>
      </c>
      <c r="V5" t="s">
        <v>24</v>
      </c>
    </row>
    <row r="6" spans="1:22">
      <c r="A6" t="s">
        <v>37</v>
      </c>
      <c r="B6" t="s">
        <v>38</v>
      </c>
      <c r="C6" s="9">
        <v>23565</v>
      </c>
      <c r="D6">
        <f ca="1">IF(Table2[[#This Row],[Tgl Lahir]]="","Unknown",DATEDIF(Table2[[#This Row],[Tgl Lahir]],TODAY(),"Y"))</f>
        <v>62</v>
      </c>
      <c r="E6" s="9">
        <v>35431</v>
      </c>
      <c r="F6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9 bulan</v>
      </c>
      <c r="G6" t="s">
        <v>39</v>
      </c>
      <c r="H6" t="s">
        <v>40</v>
      </c>
      <c r="L6" t="str">
        <f>_xlfn.TEXTJOIN("/",TRUE,Table2[[#This Row],[Departemen]:[Unit]])</f>
        <v>BOD</v>
      </c>
      <c r="M6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02-00-000-000</v>
      </c>
      <c r="N6" t="s">
        <v>36</v>
      </c>
      <c r="O6" t="str">
        <f>IFERROR(VLOOKUP(Table2[[#This Row],[Atasan]],Table2[[#All],[Hierarchy]:[Kode Posisi]],2,FALSE),"")</f>
        <v>01-00-000-000</v>
      </c>
      <c r="P6" t="s">
        <v>27</v>
      </c>
      <c r="S6" t="str">
        <f>IFERROR(VLOOKUP(Table2[[#This Row],[ID Karyawan]],[1]!Table4[[#All],[Nik]:[Placement]],37,FALSE),"")</f>
        <v/>
      </c>
      <c r="T6" t="s">
        <v>41</v>
      </c>
      <c r="U6" t="s">
        <v>24</v>
      </c>
      <c r="V6" t="s">
        <v>24</v>
      </c>
    </row>
    <row r="7" spans="1:22">
      <c r="A7" t="s">
        <v>42</v>
      </c>
      <c r="B7" t="s">
        <v>43</v>
      </c>
      <c r="C7" s="9" t="s">
        <v>24</v>
      </c>
      <c r="D7" t="str">
        <f ca="1">IF(Table2[[#This Row],[Tgl Lahir]]="","Unknown",DATEDIF(Table2[[#This Row],[Tgl Lahir]],TODAY(),"Y"))</f>
        <v>Unknown</v>
      </c>
      <c r="E7" s="9" t="s">
        <v>24</v>
      </c>
      <c r="F7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/>
      </c>
      <c r="G7" t="s">
        <v>44</v>
      </c>
      <c r="H7" t="s">
        <v>40</v>
      </c>
      <c r="L7" t="str">
        <f>_xlfn.TEXTJOIN("/",TRUE,Table2[[#This Row],[Departemen]:[Unit]])</f>
        <v>BOD</v>
      </c>
      <c r="M7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02-00-000-000</v>
      </c>
      <c r="N7" t="s">
        <v>36</v>
      </c>
      <c r="O7" t="str">
        <f>IFERROR(VLOOKUP(Table2[[#This Row],[Atasan]],Table2[[#All],[Hierarchy]:[Kode Posisi]],2,FALSE),"")</f>
        <v>01-00-000-000</v>
      </c>
      <c r="P7" t="s">
        <v>27</v>
      </c>
      <c r="S7" t="str">
        <f>IFERROR(VLOOKUP(Table2[[#This Row],[ID Karyawan]],[1]!Table4[[#All],[Nik]:[Placement]],37,FALSE),"")</f>
        <v/>
      </c>
      <c r="T7" t="s">
        <v>24</v>
      </c>
      <c r="U7" t="s">
        <v>24</v>
      </c>
      <c r="V7" t="s">
        <v>24</v>
      </c>
    </row>
    <row r="8" spans="1:22">
      <c r="A8" t="s">
        <v>45</v>
      </c>
      <c r="B8" t="s">
        <v>46</v>
      </c>
      <c r="C8" s="9" t="s">
        <v>24</v>
      </c>
      <c r="D8" t="str">
        <f ca="1">IF(Table2[[#This Row],[Tgl Lahir]]="","Unknown",DATEDIF(Table2[[#This Row],[Tgl Lahir]],TODAY(),"Y"))</f>
        <v>Unknown</v>
      </c>
      <c r="E8" s="9" t="s">
        <v>24</v>
      </c>
      <c r="F8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/>
      </c>
      <c r="G8" t="s">
        <v>44</v>
      </c>
      <c r="H8" t="s">
        <v>40</v>
      </c>
      <c r="L8" t="str">
        <f>_xlfn.TEXTJOIN("/",TRUE,Table2[[#This Row],[Departemen]:[Unit]])</f>
        <v>BOD</v>
      </c>
      <c r="M8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02-00-000-000</v>
      </c>
      <c r="N8" t="s">
        <v>36</v>
      </c>
      <c r="O8" t="str">
        <f>IFERROR(VLOOKUP(Table2[[#This Row],[Atasan]],Table2[[#All],[Hierarchy]:[Kode Posisi]],2,FALSE),"")</f>
        <v>01-00-000-000</v>
      </c>
      <c r="P8" t="s">
        <v>27</v>
      </c>
      <c r="S8" t="str">
        <f>IFERROR(VLOOKUP(Table2[[#This Row],[ID Karyawan]],[1]!Table4[[#All],[Nik]:[Placement]],37,FALSE),"")</f>
        <v/>
      </c>
      <c r="T8" t="s">
        <v>24</v>
      </c>
      <c r="U8" t="s">
        <v>24</v>
      </c>
      <c r="V8" t="s">
        <v>24</v>
      </c>
    </row>
    <row r="9" spans="1:22">
      <c r="A9" t="s">
        <v>47</v>
      </c>
      <c r="B9" t="s">
        <v>48</v>
      </c>
      <c r="C9" s="9">
        <v>19474</v>
      </c>
      <c r="D9">
        <f ca="1">IF(Table2[[#This Row],[Tgl Lahir]]="","Unknown",DATEDIF(Table2[[#This Row],[Tgl Lahir]],TODAY(),"Y"))</f>
        <v>73</v>
      </c>
      <c r="E9" s="9">
        <v>35431</v>
      </c>
      <c r="F9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9 bulan</v>
      </c>
      <c r="G9" t="s">
        <v>44</v>
      </c>
      <c r="H9" t="s">
        <v>40</v>
      </c>
      <c r="L9" t="str">
        <f>_xlfn.TEXTJOIN("/",TRUE,Table2[[#This Row],[Departemen]:[Unit]])</f>
        <v>BOD</v>
      </c>
      <c r="M9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02-00-000-000</v>
      </c>
      <c r="N9" t="s">
        <v>36</v>
      </c>
      <c r="O9" t="str">
        <f>IFERROR(VLOOKUP(Table2[[#This Row],[Atasan]],Table2[[#All],[Hierarchy]:[Kode Posisi]],2,FALSE),"")</f>
        <v>01-00-000-000</v>
      </c>
      <c r="P9" t="s">
        <v>27</v>
      </c>
      <c r="S9" t="str">
        <f>IFERROR(VLOOKUP(Table2[[#This Row],[ID Karyawan]],[1]!Table4[[#All],[Nik]:[Placement]],37,FALSE),"")</f>
        <v/>
      </c>
      <c r="T9" t="s">
        <v>41</v>
      </c>
      <c r="U9" t="s">
        <v>24</v>
      </c>
      <c r="V9" t="s">
        <v>24</v>
      </c>
    </row>
    <row r="10" spans="1:22">
      <c r="A10" t="s">
        <v>49</v>
      </c>
      <c r="B10" t="s">
        <v>50</v>
      </c>
      <c r="C10" s="9">
        <v>25727</v>
      </c>
      <c r="D10">
        <f ca="1">IF(Table2[[#This Row],[Tgl Lahir]]="","Unknown",DATEDIF(Table2[[#This Row],[Tgl Lahir]],TODAY(),"Y"))</f>
        <v>56</v>
      </c>
      <c r="E10" s="9">
        <v>35065</v>
      </c>
      <c r="F10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30 tahun 9 bulan</v>
      </c>
      <c r="G10" t="s">
        <v>44</v>
      </c>
      <c r="H10" t="s">
        <v>40</v>
      </c>
      <c r="L10" t="str">
        <f>_xlfn.TEXTJOIN("/",TRUE,Table2[[#This Row],[Departemen]:[Unit]])</f>
        <v>BOD</v>
      </c>
      <c r="M10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02-00-000-000</v>
      </c>
      <c r="N10" t="s">
        <v>36</v>
      </c>
      <c r="O10" t="str">
        <f>IFERROR(VLOOKUP(Table2[[#This Row],[Atasan]],Table2[[#All],[Hierarchy]:[Kode Posisi]],2,FALSE),"")</f>
        <v>01-00-000-000</v>
      </c>
      <c r="P10" t="s">
        <v>27</v>
      </c>
      <c r="S10" t="str">
        <f>IFERROR(VLOOKUP(Table2[[#This Row],[ID Karyawan]],[1]!Table4[[#All],[Nik]:[Placement]],37,FALSE),"")</f>
        <v/>
      </c>
      <c r="T10" t="s">
        <v>41</v>
      </c>
      <c r="U10" t="s">
        <v>24</v>
      </c>
      <c r="V10" t="s">
        <v>24</v>
      </c>
    </row>
    <row r="11" spans="1:22">
      <c r="A11" t="s">
        <v>51</v>
      </c>
      <c r="B11" t="s">
        <v>52</v>
      </c>
      <c r="C11" s="9">
        <v>35798</v>
      </c>
      <c r="D11">
        <f ca="1">IF(Table2[[#This Row],[Tgl Lahir]]="","Unknown",DATEDIF(Table2[[#This Row],[Tgl Lahir]],TODAY(),"Y"))</f>
        <v>28</v>
      </c>
      <c r="E11" s="9">
        <v>45597</v>
      </c>
      <c r="F11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 tahun 11 bulan</v>
      </c>
      <c r="G11" t="s">
        <v>53</v>
      </c>
      <c r="H11" t="s">
        <v>54</v>
      </c>
      <c r="L11" t="str">
        <f>_xlfn.TEXTJOIN("/",TRUE,Table2[[#This Row],[Departemen]:[Unit]])</f>
        <v>CEO Office</v>
      </c>
      <c r="M11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03-00-000-000</v>
      </c>
      <c r="N11" t="s">
        <v>36</v>
      </c>
      <c r="O11" t="str">
        <f>IFERROR(VLOOKUP(Table2[[#This Row],[Atasan]],Table2[[#All],[Hierarchy]:[Kode Posisi]],2,FALSE),"")</f>
        <v>01-00-000-000</v>
      </c>
      <c r="P11" t="s">
        <v>27</v>
      </c>
      <c r="S11" t="str">
        <f>IFERROR(VLOOKUP(Table2[[#This Row],[ID Karyawan]],[1]!Table4[[#All],[Nik]:[Placement]],37,FALSE),"")</f>
        <v/>
      </c>
      <c r="T11" t="s">
        <v>41</v>
      </c>
      <c r="U11" t="s">
        <v>24</v>
      </c>
      <c r="V11" t="s">
        <v>24</v>
      </c>
    </row>
    <row r="12" spans="1:22">
      <c r="A12" t="s">
        <v>55</v>
      </c>
      <c r="B12" t="s">
        <v>56</v>
      </c>
      <c r="C12" s="9">
        <v>32024</v>
      </c>
      <c r="D12">
        <f ca="1">IF(Table2[[#This Row],[Tgl Lahir]]="","Unknown",DATEDIF(Table2[[#This Row],[Tgl Lahir]],TODAY(),"Y"))</f>
        <v>39</v>
      </c>
      <c r="E12" s="9">
        <v>45296</v>
      </c>
      <c r="F12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 tahun 9 bulan</v>
      </c>
      <c r="G12" t="s">
        <v>57</v>
      </c>
      <c r="H12" t="s">
        <v>54</v>
      </c>
      <c r="L12" t="str">
        <f>_xlfn.TEXTJOIN("/",TRUE,Table2[[#This Row],[Departemen]:[Unit]])</f>
        <v>CEO Office</v>
      </c>
      <c r="M12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03-00-000-000</v>
      </c>
      <c r="N12" t="s">
        <v>36</v>
      </c>
      <c r="O12" t="str">
        <f>IFERROR(VLOOKUP(Table2[[#This Row],[Atasan]],Table2[[#All],[Hierarchy]:[Kode Posisi]],2,FALSE),"")</f>
        <v>01-00-000-000</v>
      </c>
      <c r="P12" t="s">
        <v>27</v>
      </c>
      <c r="S12" t="str">
        <f>IFERROR(VLOOKUP(Table2[[#This Row],[ID Karyawan]],[1]!Table4[[#All],[Nik]:[Placement]],37,FALSE),"")</f>
        <v/>
      </c>
      <c r="T12" t="s">
        <v>41</v>
      </c>
      <c r="U12" t="s">
        <v>24</v>
      </c>
      <c r="V12" t="s">
        <v>24</v>
      </c>
    </row>
    <row r="13" spans="1:22">
      <c r="A13"/>
      <c r="C13" s="9">
        <v>19262</v>
      </c>
      <c r="D13">
        <f ca="1">IF(Table2[[#This Row],[Tgl Lahir]]="","Unknown",DATEDIF(Table2[[#This Row],[Tgl Lahir]],TODAY(),"Y"))</f>
        <v>74</v>
      </c>
      <c r="E13" s="9" t="s">
        <v>24</v>
      </c>
      <c r="F13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/>
      </c>
      <c r="G13" t="s">
        <v>58</v>
      </c>
      <c r="H13" t="s">
        <v>59</v>
      </c>
      <c r="L13" t="str">
        <f>_xlfn.TEXTJOIN("/",TRUE,Table2[[#This Row],[Departemen]:[Unit]])</f>
        <v>Advisors &amp; Internal Consultants</v>
      </c>
      <c r="M13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04-00-000-000</v>
      </c>
      <c r="N13" t="s">
        <v>40</v>
      </c>
      <c r="O13" t="str">
        <f>IFERROR(VLOOKUP(Table2[[#This Row],[Atasan]],Table2[[#All],[Hierarchy]:[Kode Posisi]],2,FALSE),"")</f>
        <v>02-00-000-000</v>
      </c>
      <c r="P13" t="s">
        <v>27</v>
      </c>
      <c r="S13" t="str">
        <f>IFERROR(VLOOKUP(Table2[[#This Row],[ID Karyawan]],[1]!Table4[[#All],[Nik]:[Placement]],37,FALSE),"")</f>
        <v/>
      </c>
      <c r="T13" t="s">
        <v>24</v>
      </c>
      <c r="U13" t="s">
        <v>24</v>
      </c>
      <c r="V13" t="s">
        <v>24</v>
      </c>
    </row>
    <row r="14" spans="1:22">
      <c r="A14" t="s">
        <v>37</v>
      </c>
      <c r="B14" t="s">
        <v>38</v>
      </c>
      <c r="C14" s="9">
        <v>23565</v>
      </c>
      <c r="D14">
        <f ca="1">IF(Table2[[#This Row],[Tgl Lahir]]="","Unknown",DATEDIF(Table2[[#This Row],[Tgl Lahir]],TODAY(),"Y"))</f>
        <v>62</v>
      </c>
      <c r="E14" s="9">
        <v>35431</v>
      </c>
      <c r="F14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9 bulan</v>
      </c>
      <c r="G14" t="s">
        <v>60</v>
      </c>
      <c r="H14" t="s">
        <v>61</v>
      </c>
      <c r="L14" t="str">
        <f>_xlfn.TEXTJOIN("/",TRUE,Table2[[#This Row],[Departemen]:[Unit]])</f>
        <v>Production &amp; Engineering</v>
      </c>
      <c r="M14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20-00-000-000</v>
      </c>
      <c r="N14" t="s">
        <v>40</v>
      </c>
      <c r="O14" t="str">
        <f>IFERROR(VLOOKUP(Table2[[#This Row],[Atasan]],Table2[[#All],[Hierarchy]:[Kode Posisi]],2,FALSE),"")</f>
        <v>02-00-000-000</v>
      </c>
      <c r="P14" t="s">
        <v>62</v>
      </c>
      <c r="S14" t="str">
        <f>IFERROR(VLOOKUP(Table2[[#This Row],[ID Karyawan]],[1]!Table4[[#All],[Nik]:[Placement]],37,FALSE),"")</f>
        <v/>
      </c>
      <c r="T14" t="s">
        <v>41</v>
      </c>
      <c r="U14" t="s">
        <v>24</v>
      </c>
      <c r="V14" t="s">
        <v>24</v>
      </c>
    </row>
    <row r="15" spans="1:22">
      <c r="A15" t="s">
        <v>63</v>
      </c>
      <c r="B15" t="s">
        <v>64</v>
      </c>
      <c r="C15" s="9">
        <v>31801</v>
      </c>
      <c r="D15">
        <f ca="1">IF(Table2[[#This Row],[Tgl Lahir]]="","Unknown",DATEDIF(Table2[[#This Row],[Tgl Lahir]],TODAY(),"Y"))</f>
        <v>39</v>
      </c>
      <c r="E15" s="9">
        <v>41275</v>
      </c>
      <c r="F15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13 tahun 9 bulan</v>
      </c>
      <c r="G15" t="s">
        <v>65</v>
      </c>
      <c r="H15" t="s">
        <v>61</v>
      </c>
      <c r="L15" t="str">
        <f>_xlfn.TEXTJOIN("/",TRUE,Table2[[#This Row],[Departemen]:[Unit]])</f>
        <v>Production &amp; Engineering</v>
      </c>
      <c r="M15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20-00-000-000</v>
      </c>
      <c r="N15" t="s">
        <v>40</v>
      </c>
      <c r="O15" t="str">
        <f>IFERROR(VLOOKUP(Table2[[#This Row],[Atasan]],Table2[[#All],[Hierarchy]:[Kode Posisi]],2,FALSE),"")</f>
        <v>02-00-000-000</v>
      </c>
      <c r="P15" t="s">
        <v>27</v>
      </c>
      <c r="S15" t="str">
        <f>IFERROR(VLOOKUP(Table2[[#This Row],[ID Karyawan]],[1]!Table4[[#All],[Nik]:[Placement]],37,FALSE),"")</f>
        <v/>
      </c>
      <c r="T15" t="s">
        <v>41</v>
      </c>
      <c r="U15" t="s">
        <v>24</v>
      </c>
      <c r="V15" t="s">
        <v>24</v>
      </c>
    </row>
    <row r="16" spans="1:22">
      <c r="A16" t="s">
        <v>66</v>
      </c>
      <c r="C16" s="9">
        <v>33152</v>
      </c>
      <c r="D16">
        <f ca="1">IF(Table2[[#This Row],[Tgl Lahir]]="","Unknown",DATEDIF(Table2[[#This Row],[Tgl Lahir]],TODAY(),"Y"))</f>
        <v>36</v>
      </c>
      <c r="E16" s="9">
        <v>46023</v>
      </c>
      <c r="F16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9 bulan</v>
      </c>
      <c r="G16" t="s">
        <v>67</v>
      </c>
      <c r="H16" t="s">
        <v>61</v>
      </c>
      <c r="I16" t="s">
        <v>68</v>
      </c>
      <c r="L16" t="str">
        <f>_xlfn.TEXTJOIN("/",TRUE,Table2[[#This Row],[Departemen]:[Unit]])</f>
        <v>Production &amp; Engineering/Production</v>
      </c>
      <c r="M16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20-04-000-000</v>
      </c>
      <c r="N16" t="s">
        <v>61</v>
      </c>
      <c r="O16" t="str">
        <f>IFERROR(VLOOKUP(Table2[[#This Row],[Atasan]],Table2[[#All],[Hierarchy]:[Kode Posisi]],2,FALSE),"")</f>
        <v>20-00-000-000</v>
      </c>
      <c r="P16" t="s">
        <v>27</v>
      </c>
      <c r="S16" t="str">
        <f>IFERROR(VLOOKUP(Table2[[#This Row],[ID Karyawan]],[1]!Table4[[#All],[Nik]:[Placement]],37,FALSE),"")</f>
        <v/>
      </c>
      <c r="T16" t="s">
        <v>41</v>
      </c>
      <c r="U16" t="s">
        <v>24</v>
      </c>
      <c r="V16" t="s">
        <v>24</v>
      </c>
    </row>
    <row r="17" spans="1:22">
      <c r="A17" t="s">
        <v>69</v>
      </c>
      <c r="B17" t="s">
        <v>70</v>
      </c>
      <c r="C17" s="9">
        <v>24928</v>
      </c>
      <c r="D17">
        <f ca="1">IF(Table2[[#This Row],[Tgl Lahir]]="","Unknown",DATEDIF(Table2[[#This Row],[Tgl Lahir]],TODAY(),"Y"))</f>
        <v>58</v>
      </c>
      <c r="E17" s="9">
        <v>33507</v>
      </c>
      <c r="F17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35 tahun 0 bulan</v>
      </c>
      <c r="G17" t="s">
        <v>71</v>
      </c>
      <c r="H17" t="s">
        <v>61</v>
      </c>
      <c r="I17" t="s">
        <v>68</v>
      </c>
      <c r="J17" t="s">
        <v>72</v>
      </c>
      <c r="L17" t="str">
        <f>_xlfn.TEXTJOIN("/",TRUE,Table2[[#This Row],[Departemen]:[Unit]])</f>
        <v>Production &amp; Engineering/Production/Roaster</v>
      </c>
      <c r="M17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20-04-001-000</v>
      </c>
      <c r="N17" t="s">
        <v>73</v>
      </c>
      <c r="O17" t="str">
        <f>IFERROR(VLOOKUP(Table2[[#This Row],[Atasan]],Table2[[#All],[Hierarchy]:[Kode Posisi]],2,FALSE),"")</f>
        <v>20-04-000-000</v>
      </c>
      <c r="P17" t="s">
        <v>27</v>
      </c>
      <c r="S17" t="str">
        <f>IFERROR(VLOOKUP(Table2[[#This Row],[ID Karyawan]],[1]!Table4[[#All],[Nik]:[Placement]],37,FALSE),"")</f>
        <v/>
      </c>
      <c r="T17" t="s">
        <v>74</v>
      </c>
      <c r="U17">
        <v>0</v>
      </c>
      <c r="V17">
        <v>0</v>
      </c>
    </row>
    <row r="18" spans="1:22">
      <c r="A18" t="s">
        <v>75</v>
      </c>
      <c r="B18" t="s">
        <v>76</v>
      </c>
      <c r="C18" s="9">
        <v>27119</v>
      </c>
      <c r="D18">
        <f ca="1">IF(Table2[[#This Row],[Tgl Lahir]]="","Unknown",DATEDIF(Table2[[#This Row],[Tgl Lahir]],TODAY(),"Y"))</f>
        <v>52</v>
      </c>
      <c r="E18" s="9">
        <v>35350</v>
      </c>
      <c r="F18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30 tahun 0 bulan</v>
      </c>
      <c r="G18" t="s">
        <v>77</v>
      </c>
      <c r="H18" t="s">
        <v>61</v>
      </c>
      <c r="I18" t="s">
        <v>68</v>
      </c>
      <c r="J18" t="s">
        <v>72</v>
      </c>
      <c r="K18" t="s">
        <v>72</v>
      </c>
      <c r="L18" t="str">
        <f>_xlfn.TEXTJOIN("/",TRUE,Table2[[#This Row],[Departemen]:[Unit]])</f>
        <v>Production &amp; Engineering/Production/Roaster/Roaster</v>
      </c>
      <c r="M18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20-04-001-022</v>
      </c>
      <c r="N18" t="s">
        <v>78</v>
      </c>
      <c r="O18" t="str">
        <f>IFERROR(VLOOKUP(Table2[[#This Row],[Atasan]],Table2[[#All],[Hierarchy]:[Kode Posisi]],2,FALSE),"")</f>
        <v>20-04-001-000</v>
      </c>
      <c r="P18" t="s">
        <v>27</v>
      </c>
      <c r="S18" t="str">
        <f>IFERROR(VLOOKUP(Table2[[#This Row],[ID Karyawan]],[1]!Table4[[#All],[Nik]:[Placement]],37,FALSE),"")</f>
        <v/>
      </c>
      <c r="T18" t="s">
        <v>74</v>
      </c>
      <c r="U18" t="s">
        <v>79</v>
      </c>
      <c r="V18" t="s">
        <v>80</v>
      </c>
    </row>
    <row r="19" spans="1:22">
      <c r="A19" t="s">
        <v>81</v>
      </c>
      <c r="B19" t="s">
        <v>82</v>
      </c>
      <c r="C19" s="9">
        <v>28449</v>
      </c>
      <c r="D19">
        <f ca="1">IF(Table2[[#This Row],[Tgl Lahir]]="","Unknown",DATEDIF(Table2[[#This Row],[Tgl Lahir]],TODAY(),"Y"))</f>
        <v>48</v>
      </c>
      <c r="E19" s="9">
        <v>35695</v>
      </c>
      <c r="F19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0 bulan</v>
      </c>
      <c r="G19" t="s">
        <v>77</v>
      </c>
      <c r="H19" t="s">
        <v>61</v>
      </c>
      <c r="I19" t="s">
        <v>68</v>
      </c>
      <c r="J19" t="s">
        <v>72</v>
      </c>
      <c r="K19" t="s">
        <v>72</v>
      </c>
      <c r="L19" t="str">
        <f>_xlfn.TEXTJOIN("/",TRUE,Table2[[#This Row],[Departemen]:[Unit]])</f>
        <v>Production &amp; Engineering/Production/Roaster/Roaster</v>
      </c>
      <c r="M19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20-04-001-022</v>
      </c>
      <c r="N19" t="s">
        <v>78</v>
      </c>
      <c r="O19" t="str">
        <f>IFERROR(VLOOKUP(Table2[[#This Row],[Atasan]],Table2[[#All],[Hierarchy]:[Kode Posisi]],2,FALSE),"")</f>
        <v>20-04-001-000</v>
      </c>
      <c r="P19" t="s">
        <v>27</v>
      </c>
      <c r="S19" t="str">
        <f>IFERROR(VLOOKUP(Table2[[#This Row],[ID Karyawan]],[1]!Table4[[#All],[Nik]:[Placement]],37,FALSE),"")</f>
        <v/>
      </c>
      <c r="T19" t="s">
        <v>41</v>
      </c>
      <c r="U19" t="s">
        <v>83</v>
      </c>
      <c r="V19" t="s">
        <v>84</v>
      </c>
    </row>
    <row r="20" spans="1:22">
      <c r="A20" t="s">
        <v>85</v>
      </c>
      <c r="B20" t="s">
        <v>86</v>
      </c>
      <c r="C20" s="9">
        <v>26872</v>
      </c>
      <c r="D20">
        <f ca="1">IF(Table2[[#This Row],[Tgl Lahir]]="","Unknown",DATEDIF(Table2[[#This Row],[Tgl Lahir]],TODAY(),"Y"))</f>
        <v>53</v>
      </c>
      <c r="E20" s="9">
        <v>35569</v>
      </c>
      <c r="F20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4 bulan</v>
      </c>
      <c r="G20" t="s">
        <v>87</v>
      </c>
      <c r="H20" t="s">
        <v>61</v>
      </c>
      <c r="I20" t="s">
        <v>68</v>
      </c>
      <c r="J20" t="s">
        <v>72</v>
      </c>
      <c r="K20" t="s">
        <v>88</v>
      </c>
      <c r="L20" t="str">
        <f>_xlfn.TEXTJOIN("/",TRUE,Table2[[#This Row],[Departemen]:[Unit]])</f>
        <v>Production &amp; Engineering/Production/Roaster/Instant Coffee Roaster</v>
      </c>
      <c r="M20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20-04-001-023</v>
      </c>
      <c r="N20" t="s">
        <v>89</v>
      </c>
      <c r="O20" t="str">
        <f>IFERROR(VLOOKUP(Table2[[#This Row],[Atasan]],Table2[[#All],[Hierarchy]:[Kode Posisi]],2,FALSE),"")</f>
        <v>20-04-001-022</v>
      </c>
      <c r="P20" t="s">
        <v>27</v>
      </c>
      <c r="S20" t="str">
        <f>IFERROR(VLOOKUP(Table2[[#This Row],[ID Karyawan]],[1]!Table4[[#All],[Nik]:[Placement]],37,FALSE),"")</f>
        <v/>
      </c>
      <c r="T20" t="s">
        <v>74</v>
      </c>
      <c r="U20" t="s">
        <v>79</v>
      </c>
      <c r="V20" t="s">
        <v>90</v>
      </c>
    </row>
    <row r="21" spans="1:22">
      <c r="A21" t="s">
        <v>91</v>
      </c>
      <c r="B21" t="s">
        <v>92</v>
      </c>
      <c r="C21" s="9">
        <v>27944</v>
      </c>
      <c r="D21">
        <f ca="1">IF(Table2[[#This Row],[Tgl Lahir]]="","Unknown",DATEDIF(Table2[[#This Row],[Tgl Lahir]],TODAY(),"Y"))</f>
        <v>50</v>
      </c>
      <c r="E21" s="9">
        <v>35478</v>
      </c>
      <c r="F21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7 bulan</v>
      </c>
      <c r="G21" t="s">
        <v>87</v>
      </c>
      <c r="H21" t="s">
        <v>61</v>
      </c>
      <c r="I21" t="s">
        <v>68</v>
      </c>
      <c r="J21" t="s">
        <v>72</v>
      </c>
      <c r="K21" t="s">
        <v>88</v>
      </c>
      <c r="L21" t="str">
        <f>_xlfn.TEXTJOIN("/",TRUE,Table2[[#This Row],[Departemen]:[Unit]])</f>
        <v>Production &amp; Engineering/Production/Roaster/Instant Coffee Roaster</v>
      </c>
      <c r="M21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20-04-001-023</v>
      </c>
      <c r="N21" t="s">
        <v>89</v>
      </c>
      <c r="O21" t="str">
        <f>IFERROR(VLOOKUP(Table2[[#This Row],[Atasan]],Table2[[#All],[Hierarchy]:[Kode Posisi]],2,FALSE),"")</f>
        <v>20-04-001-022</v>
      </c>
      <c r="P21" t="s">
        <v>27</v>
      </c>
      <c r="S21" t="str">
        <f>IFERROR(VLOOKUP(Table2[[#This Row],[ID Karyawan]],[1]!Table4[[#All],[Nik]:[Placement]],37,FALSE),"")</f>
        <v/>
      </c>
      <c r="T21" t="s">
        <v>74</v>
      </c>
      <c r="U21">
        <v>0</v>
      </c>
      <c r="V21">
        <v>0</v>
      </c>
    </row>
    <row r="22" spans="1:22">
      <c r="A22" t="s">
        <v>93</v>
      </c>
      <c r="B22" t="s">
        <v>94</v>
      </c>
      <c r="C22" s="9">
        <v>32874</v>
      </c>
      <c r="D22">
        <f ca="1">IF(Table2[[#This Row],[Tgl Lahir]]="","Unknown",DATEDIF(Table2[[#This Row],[Tgl Lahir]],TODAY(),"Y"))</f>
        <v>36</v>
      </c>
      <c r="E22" s="9">
        <v>39846</v>
      </c>
      <c r="F22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17 tahun 8 bulan</v>
      </c>
      <c r="G22" t="s">
        <v>87</v>
      </c>
      <c r="H22" t="s">
        <v>61</v>
      </c>
      <c r="I22" t="s">
        <v>68</v>
      </c>
      <c r="J22" t="s">
        <v>72</v>
      </c>
      <c r="K22" t="s">
        <v>88</v>
      </c>
      <c r="L22" t="str">
        <f>_xlfn.TEXTJOIN("/",TRUE,Table2[[#This Row],[Departemen]:[Unit]])</f>
        <v>Production &amp; Engineering/Production/Roaster/Instant Coffee Roaster</v>
      </c>
      <c r="M22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20-04-001-023</v>
      </c>
      <c r="N22" t="s">
        <v>89</v>
      </c>
      <c r="O22" t="str">
        <f>IFERROR(VLOOKUP(Table2[[#This Row],[Atasan]],Table2[[#All],[Hierarchy]:[Kode Posisi]],2,FALSE),"")</f>
        <v>20-04-001-022</v>
      </c>
      <c r="P22" t="s">
        <v>27</v>
      </c>
      <c r="S22" t="str">
        <f>IFERROR(VLOOKUP(Table2[[#This Row],[ID Karyawan]],[1]!Table4[[#All],[Nik]:[Placement]],37,FALSE),"")</f>
        <v/>
      </c>
      <c r="T22" t="s">
        <v>74</v>
      </c>
      <c r="U22" t="s">
        <v>95</v>
      </c>
      <c r="V22" t="s">
        <v>95</v>
      </c>
    </row>
    <row r="23" spans="1:22">
      <c r="A23" t="s">
        <v>96</v>
      </c>
      <c r="B23" t="s">
        <v>97</v>
      </c>
      <c r="C23" s="9">
        <v>35197</v>
      </c>
      <c r="D23">
        <f ca="1">IF(Table2[[#This Row],[Tgl Lahir]]="","Unknown",DATEDIF(Table2[[#This Row],[Tgl Lahir]],TODAY(),"Y"))</f>
        <v>30</v>
      </c>
      <c r="E23" s="9">
        <v>42705</v>
      </c>
      <c r="F23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9 tahun 10 bulan</v>
      </c>
      <c r="G23" t="s">
        <v>98</v>
      </c>
      <c r="H23" t="s">
        <v>61</v>
      </c>
      <c r="I23" t="s">
        <v>68</v>
      </c>
      <c r="J23" t="s">
        <v>72</v>
      </c>
      <c r="K23" t="s">
        <v>88</v>
      </c>
      <c r="L23" t="str">
        <f>_xlfn.TEXTJOIN("/",TRUE,Table2[[#This Row],[Departemen]:[Unit]])</f>
        <v>Production &amp; Engineering/Production/Roaster/Instant Coffee Roaster</v>
      </c>
      <c r="M23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20-04-001-023</v>
      </c>
      <c r="N23" t="s">
        <v>89</v>
      </c>
      <c r="O23" t="str">
        <f>IFERROR(VLOOKUP(Table2[[#This Row],[Atasan]],Table2[[#All],[Hierarchy]:[Kode Posisi]],2,FALSE),"")</f>
        <v>20-04-001-022</v>
      </c>
      <c r="P23" t="s">
        <v>27</v>
      </c>
      <c r="S23" t="str">
        <f>IFERROR(VLOOKUP(Table2[[#This Row],[ID Karyawan]],[1]!Table4[[#All],[Nik]:[Placement]],37,FALSE),"")</f>
        <v/>
      </c>
      <c r="T23" t="s">
        <v>74</v>
      </c>
      <c r="U23">
        <v>0</v>
      </c>
      <c r="V23">
        <v>0</v>
      </c>
    </row>
    <row r="24" spans="1:22">
      <c r="A24" t="s">
        <v>99</v>
      </c>
      <c r="B24" t="s">
        <v>100</v>
      </c>
      <c r="C24" s="9">
        <v>26501</v>
      </c>
      <c r="D24">
        <f ca="1">IF(Table2[[#This Row],[Tgl Lahir]]="","Unknown",DATEDIF(Table2[[#This Row],[Tgl Lahir]],TODAY(),"Y"))</f>
        <v>54</v>
      </c>
      <c r="E24" s="9">
        <v>35373</v>
      </c>
      <c r="F24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11 bulan</v>
      </c>
      <c r="G24" t="s">
        <v>101</v>
      </c>
      <c r="H24" t="s">
        <v>61</v>
      </c>
      <c r="I24" t="s">
        <v>68</v>
      </c>
      <c r="J24" t="s">
        <v>72</v>
      </c>
      <c r="K24" t="s">
        <v>88</v>
      </c>
      <c r="L24" t="str">
        <f>_xlfn.TEXTJOIN("/",TRUE,Table2[[#This Row],[Departemen]:[Unit]])</f>
        <v>Production &amp; Engineering/Production/Roaster/Instant Coffee Roaster</v>
      </c>
      <c r="M24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20-04-001-023</v>
      </c>
      <c r="N24" t="s">
        <v>89</v>
      </c>
      <c r="O24" t="str">
        <f>IFERROR(VLOOKUP(Table2[[#This Row],[Atasan]],Table2[[#All],[Hierarchy]:[Kode Posisi]],2,FALSE),"")</f>
        <v>20-04-001-022</v>
      </c>
      <c r="P24" t="s">
        <v>27</v>
      </c>
      <c r="S24" t="str">
        <f>IFERROR(VLOOKUP(Table2[[#This Row],[ID Karyawan]],[1]!Table4[[#All],[Nik]:[Placement]],37,FALSE),"")</f>
        <v/>
      </c>
      <c r="T24" t="s">
        <v>74</v>
      </c>
      <c r="U24">
        <v>0</v>
      </c>
      <c r="V24">
        <v>0</v>
      </c>
    </row>
    <row r="25" spans="1:22">
      <c r="A25" t="s">
        <v>102</v>
      </c>
      <c r="B25" t="s">
        <v>103</v>
      </c>
      <c r="C25" s="9">
        <v>27377</v>
      </c>
      <c r="D25">
        <f ca="1">IF(Table2[[#This Row],[Tgl Lahir]]="","Unknown",DATEDIF(Table2[[#This Row],[Tgl Lahir]],TODAY(),"Y"))</f>
        <v>51</v>
      </c>
      <c r="E25" s="9">
        <v>35548</v>
      </c>
      <c r="F25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5 bulan</v>
      </c>
      <c r="G25" t="s">
        <v>87</v>
      </c>
      <c r="H25" t="s">
        <v>61</v>
      </c>
      <c r="I25" t="s">
        <v>68</v>
      </c>
      <c r="J25" t="s">
        <v>72</v>
      </c>
      <c r="K25" t="s">
        <v>88</v>
      </c>
      <c r="L25" t="str">
        <f>_xlfn.TEXTJOIN("/",TRUE,Table2[[#This Row],[Departemen]:[Unit]])</f>
        <v>Production &amp; Engineering/Production/Roaster/Instant Coffee Roaster</v>
      </c>
      <c r="M25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20-04-001-023</v>
      </c>
      <c r="N25" t="s">
        <v>89</v>
      </c>
      <c r="O25" t="str">
        <f>IFERROR(VLOOKUP(Table2[[#This Row],[Atasan]],Table2[[#All],[Hierarchy]:[Kode Posisi]],2,FALSE),"")</f>
        <v>20-04-001-022</v>
      </c>
      <c r="P25" t="s">
        <v>27</v>
      </c>
      <c r="S25" t="str">
        <f>IFERROR(VLOOKUP(Table2[[#This Row],[ID Karyawan]],[1]!Table4[[#All],[Nik]:[Placement]],37,FALSE),"")</f>
        <v/>
      </c>
      <c r="T25" t="s">
        <v>74</v>
      </c>
      <c r="U25" t="s">
        <v>104</v>
      </c>
      <c r="V25">
        <v>0</v>
      </c>
    </row>
    <row r="26" spans="1:22">
      <c r="A26" t="s">
        <v>105</v>
      </c>
      <c r="B26" t="s">
        <v>106</v>
      </c>
      <c r="C26" s="9">
        <v>27982</v>
      </c>
      <c r="D26">
        <f ca="1">IF(Table2[[#This Row],[Tgl Lahir]]="","Unknown",DATEDIF(Table2[[#This Row],[Tgl Lahir]],TODAY(),"Y"))</f>
        <v>50</v>
      </c>
      <c r="E26" s="9">
        <v>35544</v>
      </c>
      <c r="F26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5 bulan</v>
      </c>
      <c r="G26" t="s">
        <v>87</v>
      </c>
      <c r="H26" t="s">
        <v>61</v>
      </c>
      <c r="I26" t="s">
        <v>68</v>
      </c>
      <c r="J26" t="s">
        <v>72</v>
      </c>
      <c r="K26" t="s">
        <v>88</v>
      </c>
      <c r="L26" t="str">
        <f>_xlfn.TEXTJOIN("/",TRUE,Table2[[#This Row],[Departemen]:[Unit]])</f>
        <v>Production &amp; Engineering/Production/Roaster/Instant Coffee Roaster</v>
      </c>
      <c r="M26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20-04-001-023</v>
      </c>
      <c r="N26" t="s">
        <v>89</v>
      </c>
      <c r="O26" t="str">
        <f>IFERROR(VLOOKUP(Table2[[#This Row],[Atasan]],Table2[[#All],[Hierarchy]:[Kode Posisi]],2,FALSE),"")</f>
        <v>20-04-001-022</v>
      </c>
      <c r="P26" t="s">
        <v>27</v>
      </c>
      <c r="S26" t="str">
        <f>IFERROR(VLOOKUP(Table2[[#This Row],[ID Karyawan]],[1]!Table4[[#All],[Nik]:[Placement]],37,FALSE),"")</f>
        <v/>
      </c>
      <c r="T26" t="s">
        <v>74</v>
      </c>
      <c r="U26">
        <v>0</v>
      </c>
      <c r="V26">
        <v>0</v>
      </c>
    </row>
    <row r="27" spans="1:22">
      <c r="A27" t="s">
        <v>107</v>
      </c>
      <c r="B27" t="s">
        <v>108</v>
      </c>
      <c r="C27" s="9">
        <v>28551</v>
      </c>
      <c r="D27">
        <f ca="1">IF(Table2[[#This Row],[Tgl Lahir]]="","Unknown",DATEDIF(Table2[[#This Row],[Tgl Lahir]],TODAY(),"Y"))</f>
        <v>48</v>
      </c>
      <c r="E27" s="9">
        <v>35355</v>
      </c>
      <c r="F27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11 bulan</v>
      </c>
      <c r="G27" t="s">
        <v>101</v>
      </c>
      <c r="H27" t="s">
        <v>61</v>
      </c>
      <c r="I27" t="s">
        <v>68</v>
      </c>
      <c r="J27" t="s">
        <v>72</v>
      </c>
      <c r="K27" t="s">
        <v>88</v>
      </c>
      <c r="L27" t="str">
        <f>_xlfn.TEXTJOIN("/",TRUE,Table2[[#This Row],[Departemen]:[Unit]])</f>
        <v>Production &amp; Engineering/Production/Roaster/Instant Coffee Roaster</v>
      </c>
      <c r="M27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20-04-001-023</v>
      </c>
      <c r="N27" t="s">
        <v>89</v>
      </c>
      <c r="O27" t="str">
        <f>IFERROR(VLOOKUP(Table2[[#This Row],[Atasan]],Table2[[#All],[Hierarchy]:[Kode Posisi]],2,FALSE),"")</f>
        <v>20-04-001-022</v>
      </c>
      <c r="P27" t="s">
        <v>27</v>
      </c>
      <c r="S27" t="str">
        <f>IFERROR(VLOOKUP(Table2[[#This Row],[ID Karyawan]],[1]!Table4[[#All],[Nik]:[Placement]],37,FALSE),"")</f>
        <v/>
      </c>
      <c r="T27" t="s">
        <v>74</v>
      </c>
      <c r="U27" t="s">
        <v>109</v>
      </c>
      <c r="V27" t="s">
        <v>110</v>
      </c>
    </row>
    <row r="28" spans="1:22">
      <c r="A28" t="s">
        <v>111</v>
      </c>
      <c r="B28" t="s">
        <v>112</v>
      </c>
      <c r="C28" s="9">
        <v>28532</v>
      </c>
      <c r="D28">
        <f ca="1">IF(Table2[[#This Row],[Tgl Lahir]]="","Unknown",DATEDIF(Table2[[#This Row],[Tgl Lahir]],TODAY(),"Y"))</f>
        <v>48</v>
      </c>
      <c r="E28" s="9">
        <v>35541</v>
      </c>
      <c r="F28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5 bulan</v>
      </c>
      <c r="G28" t="s">
        <v>101</v>
      </c>
      <c r="H28" t="s">
        <v>61</v>
      </c>
      <c r="I28" t="s">
        <v>68</v>
      </c>
      <c r="J28" t="s">
        <v>72</v>
      </c>
      <c r="K28" t="s">
        <v>88</v>
      </c>
      <c r="L28" t="str">
        <f>_xlfn.TEXTJOIN("/",TRUE,Table2[[#This Row],[Departemen]:[Unit]])</f>
        <v>Production &amp; Engineering/Production/Roaster/Instant Coffee Roaster</v>
      </c>
      <c r="M28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20-04-001-023</v>
      </c>
      <c r="N28" t="s">
        <v>89</v>
      </c>
      <c r="O28" t="str">
        <f>IFERROR(VLOOKUP(Table2[[#This Row],[Atasan]],Table2[[#All],[Hierarchy]:[Kode Posisi]],2,FALSE),"")</f>
        <v>20-04-001-022</v>
      </c>
      <c r="P28" t="s">
        <v>27</v>
      </c>
      <c r="S28" t="str">
        <f>IFERROR(VLOOKUP(Table2[[#This Row],[ID Karyawan]],[1]!Table4[[#All],[Nik]:[Placement]],37,FALSE),"")</f>
        <v/>
      </c>
      <c r="T28" t="s">
        <v>74</v>
      </c>
      <c r="U28" t="s">
        <v>113</v>
      </c>
      <c r="V28" t="s">
        <v>114</v>
      </c>
    </row>
    <row r="29" spans="1:22">
      <c r="A29" t="s">
        <v>115</v>
      </c>
      <c r="B29" t="s">
        <v>116</v>
      </c>
      <c r="C29" s="9">
        <v>33744</v>
      </c>
      <c r="D29">
        <f ca="1">IF(Table2[[#This Row],[Tgl Lahir]]="","Unknown",DATEDIF(Table2[[#This Row],[Tgl Lahir]],TODAY(),"Y"))</f>
        <v>34</v>
      </c>
      <c r="E29" s="9">
        <v>44795</v>
      </c>
      <c r="F29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tahun 1 bulan</v>
      </c>
      <c r="G29" t="s">
        <v>87</v>
      </c>
      <c r="H29" t="s">
        <v>61</v>
      </c>
      <c r="I29" t="s">
        <v>68</v>
      </c>
      <c r="J29" t="s">
        <v>72</v>
      </c>
      <c r="K29" t="s">
        <v>88</v>
      </c>
      <c r="L29" t="str">
        <f>_xlfn.TEXTJOIN("/",TRUE,Table2[[#This Row],[Departemen]:[Unit]])</f>
        <v>Production &amp; Engineering/Production/Roaster/Instant Coffee Roaster</v>
      </c>
      <c r="M29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20-04-001-023</v>
      </c>
      <c r="N29" t="s">
        <v>89</v>
      </c>
      <c r="O29" t="str">
        <f>IFERROR(VLOOKUP(Table2[[#This Row],[Atasan]],Table2[[#All],[Hierarchy]:[Kode Posisi]],2,FALSE),"")</f>
        <v>20-04-001-022</v>
      </c>
      <c r="P29" t="s">
        <v>27</v>
      </c>
      <c r="S29" t="str">
        <f>IFERROR(VLOOKUP(Table2[[#This Row],[ID Karyawan]],[1]!Table4[[#All],[Nik]:[Placement]],37,FALSE),"")</f>
        <v/>
      </c>
      <c r="T29" t="s">
        <v>41</v>
      </c>
      <c r="U29" t="s">
        <v>117</v>
      </c>
      <c r="V29" t="s">
        <v>118</v>
      </c>
    </row>
    <row r="30" spans="1:22">
      <c r="A30" t="s">
        <v>119</v>
      </c>
      <c r="B30" t="s">
        <v>120</v>
      </c>
      <c r="C30" s="9">
        <v>36104</v>
      </c>
      <c r="D30">
        <f ca="1">IF(Table2[[#This Row],[Tgl Lahir]]="","Unknown",DATEDIF(Table2[[#This Row],[Tgl Lahir]],TODAY(),"Y"))</f>
        <v>27</v>
      </c>
      <c r="E30" s="9">
        <v>44768</v>
      </c>
      <c r="F30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tahun 2 bulan</v>
      </c>
      <c r="G30" t="s">
        <v>87</v>
      </c>
      <c r="H30" t="s">
        <v>61</v>
      </c>
      <c r="I30" t="s">
        <v>68</v>
      </c>
      <c r="J30" t="s">
        <v>72</v>
      </c>
      <c r="K30" t="s">
        <v>88</v>
      </c>
      <c r="L30" t="str">
        <f>_xlfn.TEXTJOIN("/",TRUE,Table2[[#This Row],[Departemen]:[Unit]])</f>
        <v>Production &amp; Engineering/Production/Roaster/Instant Coffee Roaster</v>
      </c>
      <c r="M30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20-04-001-023</v>
      </c>
      <c r="N30" t="s">
        <v>89</v>
      </c>
      <c r="O30" t="str">
        <f>IFERROR(VLOOKUP(Table2[[#This Row],[Atasan]],Table2[[#All],[Hierarchy]:[Kode Posisi]],2,FALSE),"")</f>
        <v>20-04-001-022</v>
      </c>
      <c r="P30" t="s">
        <v>27</v>
      </c>
      <c r="S30" t="str">
        <f>IFERROR(VLOOKUP(Table2[[#This Row],[ID Karyawan]],[1]!Table4[[#All],[Nik]:[Placement]],37,FALSE),"")</f>
        <v/>
      </c>
      <c r="T30" t="s">
        <v>121</v>
      </c>
      <c r="U30" t="s">
        <v>122</v>
      </c>
      <c r="V30" t="s">
        <v>123</v>
      </c>
    </row>
    <row r="31" spans="1:22">
      <c r="A31" t="s">
        <v>124</v>
      </c>
      <c r="B31" t="s">
        <v>125</v>
      </c>
      <c r="C31" s="9">
        <v>26038</v>
      </c>
      <c r="D31">
        <f ca="1">IF(Table2[[#This Row],[Tgl Lahir]]="","Unknown",DATEDIF(Table2[[#This Row],[Tgl Lahir]],TODAY(),"Y"))</f>
        <v>55</v>
      </c>
      <c r="E31" s="9">
        <v>35544</v>
      </c>
      <c r="F31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5 bulan</v>
      </c>
      <c r="G31" t="s">
        <v>87</v>
      </c>
      <c r="H31" t="s">
        <v>61</v>
      </c>
      <c r="I31" t="s">
        <v>68</v>
      </c>
      <c r="J31" t="s">
        <v>72</v>
      </c>
      <c r="K31" t="s">
        <v>126</v>
      </c>
      <c r="L31" t="str">
        <f>_xlfn.TEXTJOIN("/",TRUE,Table2[[#This Row],[Departemen]:[Unit]])</f>
        <v>Production &amp; Engineering/Production/Roaster/R&amp;G Coffee Roaster</v>
      </c>
      <c r="M31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20-04-001-024</v>
      </c>
      <c r="N31" t="s">
        <v>89</v>
      </c>
      <c r="O31" t="str">
        <f>IFERROR(VLOOKUP(Table2[[#This Row],[Atasan]],Table2[[#All],[Hierarchy]:[Kode Posisi]],2,FALSE),"")</f>
        <v>20-04-001-022</v>
      </c>
      <c r="P31" t="s">
        <v>27</v>
      </c>
      <c r="S31" t="str">
        <f>IFERROR(VLOOKUP(Table2[[#This Row],[ID Karyawan]],[1]!Table4[[#All],[Nik]:[Placement]],37,FALSE),"")</f>
        <v/>
      </c>
      <c r="T31" t="s">
        <v>74</v>
      </c>
      <c r="U31" t="s">
        <v>79</v>
      </c>
      <c r="V31" t="s">
        <v>127</v>
      </c>
    </row>
    <row r="32" spans="1:22">
      <c r="A32" t="s">
        <v>128</v>
      </c>
      <c r="B32" t="s">
        <v>129</v>
      </c>
      <c r="C32" s="9">
        <v>28176</v>
      </c>
      <c r="D32">
        <f ca="1">IF(Table2[[#This Row],[Tgl Lahir]]="","Unknown",DATEDIF(Table2[[#This Row],[Tgl Lahir]],TODAY(),"Y"))</f>
        <v>49</v>
      </c>
      <c r="E32" s="9">
        <v>35457</v>
      </c>
      <c r="F32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8 bulan</v>
      </c>
      <c r="G32" t="s">
        <v>101</v>
      </c>
      <c r="H32" t="s">
        <v>61</v>
      </c>
      <c r="I32" t="s">
        <v>68</v>
      </c>
      <c r="J32" t="s">
        <v>72</v>
      </c>
      <c r="K32" t="s">
        <v>126</v>
      </c>
      <c r="L32" t="str">
        <f>_xlfn.TEXTJOIN("/",TRUE,Table2[[#This Row],[Departemen]:[Unit]])</f>
        <v>Production &amp; Engineering/Production/Roaster/R&amp;G Coffee Roaster</v>
      </c>
      <c r="M32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20-04-001-024</v>
      </c>
      <c r="N32" t="s">
        <v>89</v>
      </c>
      <c r="O32" t="str">
        <f>IFERROR(VLOOKUP(Table2[[#This Row],[Atasan]],Table2[[#All],[Hierarchy]:[Kode Posisi]],2,FALSE),"")</f>
        <v>20-04-001-022</v>
      </c>
      <c r="P32" t="s">
        <v>27</v>
      </c>
      <c r="S32" t="str">
        <f>IFERROR(VLOOKUP(Table2[[#This Row],[ID Karyawan]],[1]!Table4[[#All],[Nik]:[Placement]],37,FALSE),"")</f>
        <v/>
      </c>
      <c r="T32" t="s">
        <v>74</v>
      </c>
      <c r="U32" t="s">
        <v>130</v>
      </c>
      <c r="V32" t="s">
        <v>131</v>
      </c>
    </row>
    <row r="33" spans="1:22">
      <c r="A33" t="s">
        <v>132</v>
      </c>
      <c r="B33" t="s">
        <v>133</v>
      </c>
      <c r="C33" s="9">
        <v>28635</v>
      </c>
      <c r="D33">
        <f ca="1">IF(Table2[[#This Row],[Tgl Lahir]]="","Unknown",DATEDIF(Table2[[#This Row],[Tgl Lahir]],TODAY(),"Y"))</f>
        <v>48</v>
      </c>
      <c r="E33" s="9">
        <v>35355</v>
      </c>
      <c r="F33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11 bulan</v>
      </c>
      <c r="G33" t="s">
        <v>87</v>
      </c>
      <c r="H33" t="s">
        <v>61</v>
      </c>
      <c r="I33" t="s">
        <v>68</v>
      </c>
      <c r="J33" t="s">
        <v>72</v>
      </c>
      <c r="K33" t="s">
        <v>126</v>
      </c>
      <c r="L33" t="str">
        <f>_xlfn.TEXTJOIN("/",TRUE,Table2[[#This Row],[Departemen]:[Unit]])</f>
        <v>Production &amp; Engineering/Production/Roaster/R&amp;G Coffee Roaster</v>
      </c>
      <c r="M33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20-04-001-024</v>
      </c>
      <c r="N33" t="s">
        <v>89</v>
      </c>
      <c r="O33" t="str">
        <f>IFERROR(VLOOKUP(Table2[[#This Row],[Atasan]],Table2[[#All],[Hierarchy]:[Kode Posisi]],2,FALSE),"")</f>
        <v>20-04-001-022</v>
      </c>
      <c r="P33" t="s">
        <v>27</v>
      </c>
      <c r="S33" t="str">
        <f>IFERROR(VLOOKUP(Table2[[#This Row],[ID Karyawan]],[1]!Table4[[#All],[Nik]:[Placement]],37,FALSE),"")</f>
        <v/>
      </c>
      <c r="T33" t="s">
        <v>74</v>
      </c>
      <c r="U33">
        <v>0</v>
      </c>
      <c r="V33">
        <v>0</v>
      </c>
    </row>
    <row r="34" spans="1:22">
      <c r="A34" t="s">
        <v>134</v>
      </c>
      <c r="B34" t="s">
        <v>135</v>
      </c>
      <c r="C34" s="9">
        <v>35101</v>
      </c>
      <c r="D34">
        <f ca="1">IF(Table2[[#This Row],[Tgl Lahir]]="","Unknown",DATEDIF(Table2[[#This Row],[Tgl Lahir]],TODAY(),"Y"))</f>
        <v>30</v>
      </c>
      <c r="E34" s="9">
        <v>44795</v>
      </c>
      <c r="F34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tahun 1 bulan</v>
      </c>
      <c r="G34" t="s">
        <v>87</v>
      </c>
      <c r="H34" t="s">
        <v>61</v>
      </c>
      <c r="I34" t="s">
        <v>68</v>
      </c>
      <c r="J34" t="s">
        <v>72</v>
      </c>
      <c r="K34" t="s">
        <v>126</v>
      </c>
      <c r="L34" t="str">
        <f>_xlfn.TEXTJOIN("/",TRUE,Table2[[#This Row],[Departemen]:[Unit]])</f>
        <v>Production &amp; Engineering/Production/Roaster/R&amp;G Coffee Roaster</v>
      </c>
      <c r="M34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20-04-001-024</v>
      </c>
      <c r="N34" t="s">
        <v>89</v>
      </c>
      <c r="O34" t="str">
        <f>IFERROR(VLOOKUP(Table2[[#This Row],[Atasan]],Table2[[#All],[Hierarchy]:[Kode Posisi]],2,FALSE),"")</f>
        <v>20-04-001-022</v>
      </c>
      <c r="P34" t="s">
        <v>27</v>
      </c>
      <c r="S34" t="str">
        <f>IFERROR(VLOOKUP(Table2[[#This Row],[ID Karyawan]],[1]!Table4[[#All],[Nik]:[Placement]],37,FALSE),"")</f>
        <v/>
      </c>
      <c r="T34" t="s">
        <v>41</v>
      </c>
      <c r="U34" t="s">
        <v>122</v>
      </c>
      <c r="V34" t="s">
        <v>136</v>
      </c>
    </row>
    <row r="35" spans="1:22">
      <c r="A35" t="s">
        <v>137</v>
      </c>
      <c r="B35" t="s">
        <v>138</v>
      </c>
      <c r="C35" s="9">
        <v>26841</v>
      </c>
      <c r="D35">
        <f ca="1">IF(Table2[[#This Row],[Tgl Lahir]]="","Unknown",DATEDIF(Table2[[#This Row],[Tgl Lahir]],TODAY(),"Y"))</f>
        <v>53</v>
      </c>
      <c r="E35" s="9">
        <v>35559</v>
      </c>
      <c r="F35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5 bulan</v>
      </c>
      <c r="G35" t="s">
        <v>71</v>
      </c>
      <c r="H35" t="s">
        <v>61</v>
      </c>
      <c r="I35" t="s">
        <v>68</v>
      </c>
      <c r="J35" t="s">
        <v>139</v>
      </c>
      <c r="L35" t="str">
        <f>_xlfn.TEXTJOIN("/",TRUE,Table2[[#This Row],[Departemen]:[Unit]])</f>
        <v>Production &amp; Engineering/Production/Instant Coffee Process</v>
      </c>
      <c r="M35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20-04-002-000</v>
      </c>
      <c r="N35" t="s">
        <v>73</v>
      </c>
      <c r="O35" t="str">
        <f>IFERROR(VLOOKUP(Table2[[#This Row],[Atasan]],Table2[[#All],[Hierarchy]:[Kode Posisi]],2,FALSE),"")</f>
        <v>20-04-000-000</v>
      </c>
      <c r="P35" t="s">
        <v>27</v>
      </c>
      <c r="S35" t="str">
        <f>IFERROR(VLOOKUP(Table2[[#This Row],[ID Karyawan]],[1]!Table4[[#All],[Nik]:[Placement]],37,FALSE),"")</f>
        <v/>
      </c>
      <c r="T35" t="s">
        <v>121</v>
      </c>
      <c r="U35" t="s">
        <v>140</v>
      </c>
      <c r="V35" t="s">
        <v>141</v>
      </c>
    </row>
    <row r="36" spans="1:22">
      <c r="A36" t="s">
        <v>142</v>
      </c>
      <c r="B36" t="s">
        <v>143</v>
      </c>
      <c r="C36" s="9">
        <v>28093</v>
      </c>
      <c r="D36">
        <f ca="1">IF(Table2[[#This Row],[Tgl Lahir]]="","Unknown",DATEDIF(Table2[[#This Row],[Tgl Lahir]],TODAY(),"Y"))</f>
        <v>49</v>
      </c>
      <c r="E36" s="9">
        <v>35443</v>
      </c>
      <c r="F36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9 bulan</v>
      </c>
      <c r="G36" t="s">
        <v>71</v>
      </c>
      <c r="H36" t="s">
        <v>61</v>
      </c>
      <c r="I36" t="s">
        <v>68</v>
      </c>
      <c r="J36" t="s">
        <v>139</v>
      </c>
      <c r="L36" t="str">
        <f>_xlfn.TEXTJOIN("/",TRUE,Table2[[#This Row],[Departemen]:[Unit]])</f>
        <v>Production &amp; Engineering/Production/Instant Coffee Process</v>
      </c>
      <c r="M36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20-04-002-000</v>
      </c>
      <c r="N36" t="s">
        <v>73</v>
      </c>
      <c r="O36" t="str">
        <f>IFERROR(VLOOKUP(Table2[[#This Row],[Atasan]],Table2[[#All],[Hierarchy]:[Kode Posisi]],2,FALSE),"")</f>
        <v>20-04-000-000</v>
      </c>
      <c r="P36" t="s">
        <v>27</v>
      </c>
      <c r="S36" t="str">
        <f>IFERROR(VLOOKUP(Table2[[#This Row],[ID Karyawan]],[1]!Table4[[#All],[Nik]:[Placement]],37,FALSE),"")</f>
        <v/>
      </c>
      <c r="T36" t="s">
        <v>74</v>
      </c>
      <c r="U36" t="s">
        <v>122</v>
      </c>
      <c r="V36" t="s">
        <v>144</v>
      </c>
    </row>
    <row r="37" spans="1:22">
      <c r="A37" t="s">
        <v>145</v>
      </c>
      <c r="B37" t="s">
        <v>146</v>
      </c>
      <c r="C37" s="9">
        <v>26025</v>
      </c>
      <c r="D37">
        <f ca="1">IF(Table2[[#This Row],[Tgl Lahir]]="","Unknown",DATEDIF(Table2[[#This Row],[Tgl Lahir]],TODAY(),"Y"))</f>
        <v>55</v>
      </c>
      <c r="E37" s="9">
        <v>33660</v>
      </c>
      <c r="F37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34 tahun 7 bulan</v>
      </c>
      <c r="G37" t="s">
        <v>71</v>
      </c>
      <c r="H37" t="s">
        <v>61</v>
      </c>
      <c r="I37" t="s">
        <v>68</v>
      </c>
      <c r="J37" t="s">
        <v>139</v>
      </c>
      <c r="L37" t="str">
        <f>_xlfn.TEXTJOIN("/",TRUE,Table2[[#This Row],[Departemen]:[Unit]])</f>
        <v>Production &amp; Engineering/Production/Instant Coffee Process</v>
      </c>
      <c r="M37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20-04-002-000</v>
      </c>
      <c r="N37" t="s">
        <v>73</v>
      </c>
      <c r="O37" t="str">
        <f>IFERROR(VLOOKUP(Table2[[#This Row],[Atasan]],Table2[[#All],[Hierarchy]:[Kode Posisi]],2,FALSE),"")</f>
        <v>20-04-000-000</v>
      </c>
      <c r="P37" t="s">
        <v>27</v>
      </c>
      <c r="S37" t="str">
        <f>IFERROR(VLOOKUP(Table2[[#This Row],[ID Karyawan]],[1]!Table4[[#All],[Nik]:[Placement]],37,FALSE),"")</f>
        <v/>
      </c>
      <c r="T37" t="s">
        <v>41</v>
      </c>
      <c r="U37" t="s">
        <v>79</v>
      </c>
      <c r="V37" t="s">
        <v>147</v>
      </c>
    </row>
    <row r="38" spans="1:22">
      <c r="A38" t="s">
        <v>148</v>
      </c>
      <c r="B38" t="s">
        <v>149</v>
      </c>
      <c r="C38" s="9">
        <v>26301</v>
      </c>
      <c r="D38">
        <f ca="1">IF(Table2[[#This Row],[Tgl Lahir]]="","Unknown",DATEDIF(Table2[[#This Row],[Tgl Lahir]],TODAY(),"Y"))</f>
        <v>54</v>
      </c>
      <c r="E38" s="9">
        <v>35200</v>
      </c>
      <c r="F38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30 tahun 4 bulan</v>
      </c>
      <c r="G38" t="s">
        <v>71</v>
      </c>
      <c r="H38" t="s">
        <v>61</v>
      </c>
      <c r="I38" t="s">
        <v>68</v>
      </c>
      <c r="J38" t="s">
        <v>139</v>
      </c>
      <c r="L38" t="str">
        <f>_xlfn.TEXTJOIN("/",TRUE,Table2[[#This Row],[Departemen]:[Unit]])</f>
        <v>Production &amp; Engineering/Production/Instant Coffee Process</v>
      </c>
      <c r="M38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20-04-002-000</v>
      </c>
      <c r="N38" t="s">
        <v>73</v>
      </c>
      <c r="O38" t="str">
        <f>IFERROR(VLOOKUP(Table2[[#This Row],[Atasan]],Table2[[#All],[Hierarchy]:[Kode Posisi]],2,FALSE),"")</f>
        <v>20-04-000-000</v>
      </c>
      <c r="P38" t="s">
        <v>27</v>
      </c>
      <c r="S38" t="str">
        <f>IFERROR(VLOOKUP(Table2[[#This Row],[ID Karyawan]],[1]!Table4[[#All],[Nik]:[Placement]],37,FALSE),"")</f>
        <v/>
      </c>
      <c r="T38" t="s">
        <v>41</v>
      </c>
      <c r="U38" t="s">
        <v>150</v>
      </c>
      <c r="V38" t="s">
        <v>151</v>
      </c>
    </row>
    <row r="39" spans="1:22">
      <c r="A39" t="s">
        <v>152</v>
      </c>
      <c r="B39" t="s">
        <v>153</v>
      </c>
      <c r="C39" s="9">
        <v>25615</v>
      </c>
      <c r="D39">
        <f ca="1">IF(Table2[[#This Row],[Tgl Lahir]]="","Unknown",DATEDIF(Table2[[#This Row],[Tgl Lahir]],TODAY(),"Y"))</f>
        <v>56</v>
      </c>
      <c r="E39" s="9">
        <v>35513</v>
      </c>
      <c r="F39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6 bulan</v>
      </c>
      <c r="G39" t="s">
        <v>101</v>
      </c>
      <c r="H39" t="s">
        <v>61</v>
      </c>
      <c r="I39" t="s">
        <v>68</v>
      </c>
      <c r="J39" t="s">
        <v>139</v>
      </c>
      <c r="K39" t="s">
        <v>154</v>
      </c>
      <c r="L39" t="str">
        <f>_xlfn.TEXTJOIN("/",TRUE,Table2[[#This Row],[Departemen]:[Unit]])</f>
        <v>Production &amp; Engineering/Production/Instant Coffee Process/Extractor</v>
      </c>
      <c r="M39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20-04-002-001</v>
      </c>
      <c r="N39" t="s">
        <v>155</v>
      </c>
      <c r="O39" t="str">
        <f>IFERROR(VLOOKUP(Table2[[#This Row],[Atasan]],Table2[[#All],[Hierarchy]:[Kode Posisi]],2,FALSE),"")</f>
        <v>20-04-002-025</v>
      </c>
      <c r="P39" t="s">
        <v>27</v>
      </c>
      <c r="S39" t="str">
        <f>IFERROR(VLOOKUP(Table2[[#This Row],[ID Karyawan]],[1]!Table4[[#All],[Nik]:[Placement]],37,FALSE),"")</f>
        <v/>
      </c>
      <c r="T39" t="s">
        <v>74</v>
      </c>
      <c r="U39">
        <v>0</v>
      </c>
      <c r="V39">
        <v>0</v>
      </c>
    </row>
    <row r="40" spans="1:22">
      <c r="A40" t="s">
        <v>156</v>
      </c>
      <c r="B40" t="s">
        <v>157</v>
      </c>
      <c r="C40" s="9">
        <v>27078</v>
      </c>
      <c r="D40">
        <f ca="1">IF(Table2[[#This Row],[Tgl Lahir]]="","Unknown",DATEDIF(Table2[[#This Row],[Tgl Lahir]],TODAY(),"Y"))</f>
        <v>52</v>
      </c>
      <c r="E40" s="9">
        <v>35443</v>
      </c>
      <c r="F40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9 bulan</v>
      </c>
      <c r="G40" t="s">
        <v>101</v>
      </c>
      <c r="H40" t="s">
        <v>61</v>
      </c>
      <c r="I40" t="s">
        <v>68</v>
      </c>
      <c r="J40" t="s">
        <v>139</v>
      </c>
      <c r="K40" t="s">
        <v>154</v>
      </c>
      <c r="L40" t="str">
        <f>_xlfn.TEXTJOIN("/",TRUE,Table2[[#This Row],[Departemen]:[Unit]])</f>
        <v>Production &amp; Engineering/Production/Instant Coffee Process/Extractor</v>
      </c>
      <c r="M40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20-04-002-001</v>
      </c>
      <c r="N40" t="s">
        <v>155</v>
      </c>
      <c r="O40" t="str">
        <f>IFERROR(VLOOKUP(Table2[[#This Row],[Atasan]],Table2[[#All],[Hierarchy]:[Kode Posisi]],2,FALSE),"")</f>
        <v>20-04-002-025</v>
      </c>
      <c r="P40" t="s">
        <v>27</v>
      </c>
      <c r="S40" t="str">
        <f>IFERROR(VLOOKUP(Table2[[#This Row],[ID Karyawan]],[1]!Table4[[#All],[Nik]:[Placement]],37,FALSE),"")</f>
        <v/>
      </c>
      <c r="T40" t="s">
        <v>74</v>
      </c>
      <c r="U40">
        <v>0</v>
      </c>
      <c r="V40">
        <v>0</v>
      </c>
    </row>
    <row r="41" spans="1:22">
      <c r="A41" t="s">
        <v>158</v>
      </c>
      <c r="B41" t="s">
        <v>159</v>
      </c>
      <c r="C41" s="9">
        <v>30306</v>
      </c>
      <c r="D41">
        <f ca="1">IF(Table2[[#This Row],[Tgl Lahir]]="","Unknown",DATEDIF(Table2[[#This Row],[Tgl Lahir]],TODAY(),"Y"))</f>
        <v>43</v>
      </c>
      <c r="E41" s="9">
        <v>38033</v>
      </c>
      <c r="F41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22 tahun 7 bulan</v>
      </c>
      <c r="G41" t="s">
        <v>101</v>
      </c>
      <c r="H41" t="s">
        <v>61</v>
      </c>
      <c r="I41" t="s">
        <v>68</v>
      </c>
      <c r="J41" t="s">
        <v>139</v>
      </c>
      <c r="K41" t="s">
        <v>154</v>
      </c>
      <c r="L41" t="str">
        <f>_xlfn.TEXTJOIN("/",TRUE,Table2[[#This Row],[Departemen]:[Unit]])</f>
        <v>Production &amp; Engineering/Production/Instant Coffee Process/Extractor</v>
      </c>
      <c r="M41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20-04-002-001</v>
      </c>
      <c r="N41" t="s">
        <v>155</v>
      </c>
      <c r="O41" t="str">
        <f>IFERROR(VLOOKUP(Table2[[#This Row],[Atasan]],Table2[[#All],[Hierarchy]:[Kode Posisi]],2,FALSE),"")</f>
        <v>20-04-002-025</v>
      </c>
      <c r="P41" t="s">
        <v>27</v>
      </c>
      <c r="S41" t="str">
        <f>IFERROR(VLOOKUP(Table2[[#This Row],[ID Karyawan]],[1]!Table4[[#All],[Nik]:[Placement]],37,FALSE),"")</f>
        <v/>
      </c>
      <c r="T41" t="s">
        <v>74</v>
      </c>
      <c r="U41">
        <v>0</v>
      </c>
      <c r="V41" t="s">
        <v>79</v>
      </c>
    </row>
    <row r="42" spans="1:22">
      <c r="A42" t="s">
        <v>160</v>
      </c>
      <c r="B42" t="s">
        <v>161</v>
      </c>
      <c r="C42" s="9">
        <v>33565</v>
      </c>
      <c r="D42">
        <f ca="1">IF(Table2[[#This Row],[Tgl Lahir]]="","Unknown",DATEDIF(Table2[[#This Row],[Tgl Lahir]],TODAY(),"Y"))</f>
        <v>34</v>
      </c>
      <c r="E42" s="9">
        <v>44795</v>
      </c>
      <c r="F42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tahun 1 bulan</v>
      </c>
      <c r="G42" t="s">
        <v>101</v>
      </c>
      <c r="H42" t="s">
        <v>61</v>
      </c>
      <c r="I42" t="s">
        <v>68</v>
      </c>
      <c r="J42" t="s">
        <v>139</v>
      </c>
      <c r="K42" t="s">
        <v>154</v>
      </c>
      <c r="L42" t="str">
        <f>_xlfn.TEXTJOIN("/",TRUE,Table2[[#This Row],[Departemen]:[Unit]])</f>
        <v>Production &amp; Engineering/Production/Instant Coffee Process/Extractor</v>
      </c>
      <c r="M42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20-04-002-001</v>
      </c>
      <c r="N42" t="s">
        <v>155</v>
      </c>
      <c r="O42" t="str">
        <f>IFERROR(VLOOKUP(Table2[[#This Row],[Atasan]],Table2[[#All],[Hierarchy]:[Kode Posisi]],2,FALSE),"")</f>
        <v>20-04-002-025</v>
      </c>
      <c r="P42" t="s">
        <v>27</v>
      </c>
      <c r="S42" t="str">
        <f>IFERROR(VLOOKUP(Table2[[#This Row],[ID Karyawan]],[1]!Table4[[#All],[Nik]:[Placement]],37,FALSE),"")</f>
        <v/>
      </c>
      <c r="T42" t="s">
        <v>74</v>
      </c>
      <c r="U42" t="s">
        <v>162</v>
      </c>
      <c r="V42" t="s">
        <v>163</v>
      </c>
    </row>
    <row r="43" spans="1:22">
      <c r="A43" t="s">
        <v>164</v>
      </c>
      <c r="B43" t="s">
        <v>165</v>
      </c>
      <c r="C43" s="9">
        <v>33797</v>
      </c>
      <c r="D43">
        <f ca="1">IF(Table2[[#This Row],[Tgl Lahir]]="","Unknown",DATEDIF(Table2[[#This Row],[Tgl Lahir]],TODAY(),"Y"))</f>
        <v>34</v>
      </c>
      <c r="E43" s="9">
        <v>44795</v>
      </c>
      <c r="F43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tahun 1 bulan</v>
      </c>
      <c r="G43" t="s">
        <v>101</v>
      </c>
      <c r="H43" t="s">
        <v>61</v>
      </c>
      <c r="I43" t="s">
        <v>68</v>
      </c>
      <c r="J43" t="s">
        <v>139</v>
      </c>
      <c r="K43" t="s">
        <v>154</v>
      </c>
      <c r="L43" t="str">
        <f>_xlfn.TEXTJOIN("/",TRUE,Table2[[#This Row],[Departemen]:[Unit]])</f>
        <v>Production &amp; Engineering/Production/Instant Coffee Process/Extractor</v>
      </c>
      <c r="M43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20-04-002-001</v>
      </c>
      <c r="N43" t="s">
        <v>155</v>
      </c>
      <c r="O43" t="str">
        <f>IFERROR(VLOOKUP(Table2[[#This Row],[Atasan]],Table2[[#All],[Hierarchy]:[Kode Posisi]],2,FALSE),"")</f>
        <v>20-04-002-025</v>
      </c>
      <c r="P43" t="s">
        <v>27</v>
      </c>
      <c r="S43" t="str">
        <f>IFERROR(VLOOKUP(Table2[[#This Row],[ID Karyawan]],[1]!Table4[[#All],[Nik]:[Placement]],37,FALSE),"")</f>
        <v/>
      </c>
      <c r="T43" t="s">
        <v>41</v>
      </c>
      <c r="U43" t="s">
        <v>166</v>
      </c>
      <c r="V43" t="s">
        <v>167</v>
      </c>
    </row>
    <row r="44" spans="1:22">
      <c r="A44" t="s">
        <v>168</v>
      </c>
      <c r="B44" t="s">
        <v>169</v>
      </c>
      <c r="C44" s="9">
        <v>34033</v>
      </c>
      <c r="D44">
        <f ca="1">IF(Table2[[#This Row],[Tgl Lahir]]="","Unknown",DATEDIF(Table2[[#This Row],[Tgl Lahir]],TODAY(),"Y"))</f>
        <v>33</v>
      </c>
      <c r="E44" s="9">
        <v>43202</v>
      </c>
      <c r="F44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8 tahun 6 bulan</v>
      </c>
      <c r="G44" t="s">
        <v>101</v>
      </c>
      <c r="H44" t="s">
        <v>61</v>
      </c>
      <c r="I44" t="s">
        <v>68</v>
      </c>
      <c r="J44" t="s">
        <v>139</v>
      </c>
      <c r="K44" t="s">
        <v>154</v>
      </c>
      <c r="L44" t="str">
        <f>_xlfn.TEXTJOIN("/",TRUE,Table2[[#This Row],[Departemen]:[Unit]])</f>
        <v>Production &amp; Engineering/Production/Instant Coffee Process/Extractor</v>
      </c>
      <c r="M44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20-04-002-001</v>
      </c>
      <c r="N44" t="s">
        <v>155</v>
      </c>
      <c r="O44" t="str">
        <f>IFERROR(VLOOKUP(Table2[[#This Row],[Atasan]],Table2[[#All],[Hierarchy]:[Kode Posisi]],2,FALSE),"")</f>
        <v>20-04-002-025</v>
      </c>
      <c r="P44" t="s">
        <v>27</v>
      </c>
      <c r="S44" t="str">
        <f>IFERROR(VLOOKUP(Table2[[#This Row],[ID Karyawan]],[1]!Table4[[#All],[Nik]:[Placement]],37,FALSE),"")</f>
        <v/>
      </c>
      <c r="T44" t="s">
        <v>74</v>
      </c>
      <c r="U44" t="s">
        <v>170</v>
      </c>
      <c r="V44" t="s">
        <v>171</v>
      </c>
    </row>
    <row r="45" spans="1:22">
      <c r="A45" t="s">
        <v>172</v>
      </c>
      <c r="B45" t="s">
        <v>173</v>
      </c>
      <c r="C45" s="9">
        <v>35583</v>
      </c>
      <c r="D45">
        <f ca="1">IF(Table2[[#This Row],[Tgl Lahir]]="","Unknown",DATEDIF(Table2[[#This Row],[Tgl Lahir]],TODAY(),"Y"))</f>
        <v>29</v>
      </c>
      <c r="E45" s="9">
        <v>44795</v>
      </c>
      <c r="F45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tahun 1 bulan</v>
      </c>
      <c r="G45" t="s">
        <v>101</v>
      </c>
      <c r="H45" t="s">
        <v>61</v>
      </c>
      <c r="I45" t="s">
        <v>68</v>
      </c>
      <c r="J45" t="s">
        <v>139</v>
      </c>
      <c r="K45" t="s">
        <v>154</v>
      </c>
      <c r="L45" t="str">
        <f>_xlfn.TEXTJOIN("/",TRUE,Table2[[#This Row],[Departemen]:[Unit]])</f>
        <v>Production &amp; Engineering/Production/Instant Coffee Process/Extractor</v>
      </c>
      <c r="M45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20-04-002-001</v>
      </c>
      <c r="N45" t="s">
        <v>155</v>
      </c>
      <c r="O45" t="str">
        <f>IFERROR(VLOOKUP(Table2[[#This Row],[Atasan]],Table2[[#All],[Hierarchy]:[Kode Posisi]],2,FALSE),"")</f>
        <v>20-04-002-025</v>
      </c>
      <c r="P45" t="s">
        <v>27</v>
      </c>
      <c r="S45" t="str">
        <f>IFERROR(VLOOKUP(Table2[[#This Row],[ID Karyawan]],[1]!Table4[[#All],[Nik]:[Placement]],37,FALSE),"")</f>
        <v/>
      </c>
      <c r="T45" t="s">
        <v>41</v>
      </c>
      <c r="U45" t="s">
        <v>174</v>
      </c>
      <c r="V45" t="s">
        <v>175</v>
      </c>
    </row>
    <row r="46" spans="1:22">
      <c r="A46" t="s">
        <v>176</v>
      </c>
      <c r="B46" t="s">
        <v>177</v>
      </c>
      <c r="C46" s="9">
        <v>37013</v>
      </c>
      <c r="D46">
        <f ca="1">IF(Table2[[#This Row],[Tgl Lahir]]="","Unknown",DATEDIF(Table2[[#This Row],[Tgl Lahir]],TODAY(),"Y"))</f>
        <v>25</v>
      </c>
      <c r="E46" s="9">
        <v>44795</v>
      </c>
      <c r="F46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tahun 1 bulan</v>
      </c>
      <c r="G46" t="s">
        <v>101</v>
      </c>
      <c r="H46" t="s">
        <v>61</v>
      </c>
      <c r="I46" t="s">
        <v>68</v>
      </c>
      <c r="J46" t="s">
        <v>139</v>
      </c>
      <c r="K46" t="s">
        <v>154</v>
      </c>
      <c r="L46" t="str">
        <f>_xlfn.TEXTJOIN("/",TRUE,Table2[[#This Row],[Departemen]:[Unit]])</f>
        <v>Production &amp; Engineering/Production/Instant Coffee Process/Extractor</v>
      </c>
      <c r="M46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20-04-002-001</v>
      </c>
      <c r="N46" t="s">
        <v>155</v>
      </c>
      <c r="O46" t="str">
        <f>IFERROR(VLOOKUP(Table2[[#This Row],[Atasan]],Table2[[#All],[Hierarchy]:[Kode Posisi]],2,FALSE),"")</f>
        <v>20-04-002-025</v>
      </c>
      <c r="P46" t="s">
        <v>27</v>
      </c>
      <c r="S46" t="str">
        <f>IFERROR(VLOOKUP(Table2[[#This Row],[ID Karyawan]],[1]!Table4[[#All],[Nik]:[Placement]],37,FALSE),"")</f>
        <v/>
      </c>
      <c r="T46" t="s">
        <v>74</v>
      </c>
      <c r="U46" t="s">
        <v>178</v>
      </c>
      <c r="V46" t="s">
        <v>163</v>
      </c>
    </row>
    <row r="47" spans="1:22">
      <c r="A47" t="s">
        <v>179</v>
      </c>
      <c r="B47" t="s">
        <v>180</v>
      </c>
      <c r="C47" s="9">
        <v>28022</v>
      </c>
      <c r="D47">
        <f ca="1">IF(Table2[[#This Row],[Tgl Lahir]]="","Unknown",DATEDIF(Table2[[#This Row],[Tgl Lahir]],TODAY(),"Y"))</f>
        <v>50</v>
      </c>
      <c r="E47" s="9">
        <v>35834</v>
      </c>
      <c r="F47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28 tahun 8 bulan</v>
      </c>
      <c r="G47" t="s">
        <v>87</v>
      </c>
      <c r="H47" t="s">
        <v>61</v>
      </c>
      <c r="I47" t="s">
        <v>68</v>
      </c>
      <c r="J47" t="s">
        <v>139</v>
      </c>
      <c r="K47" t="s">
        <v>154</v>
      </c>
      <c r="L47" t="str">
        <f>_xlfn.TEXTJOIN("/",TRUE,Table2[[#This Row],[Departemen]:[Unit]])</f>
        <v>Production &amp; Engineering/Production/Instant Coffee Process/Extractor</v>
      </c>
      <c r="M47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20-04-002-001</v>
      </c>
      <c r="N47" t="s">
        <v>155</v>
      </c>
      <c r="O47" t="str">
        <f>IFERROR(VLOOKUP(Table2[[#This Row],[Atasan]],Table2[[#All],[Hierarchy]:[Kode Posisi]],2,FALSE),"")</f>
        <v>20-04-002-025</v>
      </c>
      <c r="P47" t="s">
        <v>27</v>
      </c>
      <c r="S47" t="str">
        <f>IFERROR(VLOOKUP(Table2[[#This Row],[ID Karyawan]],[1]!Table4[[#All],[Nik]:[Placement]],37,FALSE),"")</f>
        <v/>
      </c>
      <c r="T47" t="s">
        <v>181</v>
      </c>
      <c r="U47">
        <v>0</v>
      </c>
      <c r="V47">
        <v>0</v>
      </c>
    </row>
    <row r="48" spans="1:22">
      <c r="A48" t="s">
        <v>182</v>
      </c>
      <c r="B48" t="s">
        <v>183</v>
      </c>
      <c r="C48" s="9">
        <v>28229</v>
      </c>
      <c r="D48">
        <f ca="1">IF(Table2[[#This Row],[Tgl Lahir]]="","Unknown",DATEDIF(Table2[[#This Row],[Tgl Lahir]],TODAY(),"Y"))</f>
        <v>49</v>
      </c>
      <c r="E48" s="9">
        <v>35548</v>
      </c>
      <c r="F48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5 bulan</v>
      </c>
      <c r="G48" t="s">
        <v>87</v>
      </c>
      <c r="H48" t="s">
        <v>61</v>
      </c>
      <c r="I48" t="s">
        <v>68</v>
      </c>
      <c r="J48" t="s">
        <v>139</v>
      </c>
      <c r="K48" t="s">
        <v>154</v>
      </c>
      <c r="L48" t="str">
        <f>_xlfn.TEXTJOIN("/",TRUE,Table2[[#This Row],[Departemen]:[Unit]])</f>
        <v>Production &amp; Engineering/Production/Instant Coffee Process/Extractor</v>
      </c>
      <c r="M48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20-04-002-001</v>
      </c>
      <c r="N48" t="s">
        <v>155</v>
      </c>
      <c r="O48" t="str">
        <f>IFERROR(VLOOKUP(Table2[[#This Row],[Atasan]],Table2[[#All],[Hierarchy]:[Kode Posisi]],2,FALSE),"")</f>
        <v>20-04-002-025</v>
      </c>
      <c r="P48" t="s">
        <v>27</v>
      </c>
      <c r="S48" t="str">
        <f>IFERROR(VLOOKUP(Table2[[#This Row],[ID Karyawan]],[1]!Table4[[#All],[Nik]:[Placement]],37,FALSE),"")</f>
        <v/>
      </c>
      <c r="T48" t="s">
        <v>74</v>
      </c>
      <c r="U48" t="s">
        <v>184</v>
      </c>
      <c r="V48" t="s">
        <v>184</v>
      </c>
    </row>
    <row r="49" spans="1:22">
      <c r="A49" t="s">
        <v>185</v>
      </c>
      <c r="B49" t="s">
        <v>186</v>
      </c>
      <c r="C49" s="9">
        <v>28556</v>
      </c>
      <c r="D49">
        <f ca="1">IF(Table2[[#This Row],[Tgl Lahir]]="","Unknown",DATEDIF(Table2[[#This Row],[Tgl Lahir]],TODAY(),"Y"))</f>
        <v>48</v>
      </c>
      <c r="E49" s="9">
        <v>35446</v>
      </c>
      <c r="F49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8 bulan</v>
      </c>
      <c r="G49" t="s">
        <v>87</v>
      </c>
      <c r="H49" t="s">
        <v>61</v>
      </c>
      <c r="I49" t="s">
        <v>68</v>
      </c>
      <c r="J49" t="s">
        <v>139</v>
      </c>
      <c r="K49" t="s">
        <v>154</v>
      </c>
      <c r="L49" t="str">
        <f>_xlfn.TEXTJOIN("/",TRUE,Table2[[#This Row],[Departemen]:[Unit]])</f>
        <v>Production &amp; Engineering/Production/Instant Coffee Process/Extractor</v>
      </c>
      <c r="M49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20-04-002-001</v>
      </c>
      <c r="N49" t="s">
        <v>155</v>
      </c>
      <c r="O49" t="str">
        <f>IFERROR(VLOOKUP(Table2[[#This Row],[Atasan]],Table2[[#All],[Hierarchy]:[Kode Posisi]],2,FALSE),"")</f>
        <v>20-04-002-025</v>
      </c>
      <c r="P49" t="s">
        <v>27</v>
      </c>
      <c r="S49" t="str">
        <f>IFERROR(VLOOKUP(Table2[[#This Row],[ID Karyawan]],[1]!Table4[[#All],[Nik]:[Placement]],37,FALSE),"")</f>
        <v/>
      </c>
      <c r="T49" t="s">
        <v>74</v>
      </c>
      <c r="U49">
        <v>0</v>
      </c>
      <c r="V49">
        <v>0</v>
      </c>
    </row>
    <row r="50" spans="1:22">
      <c r="A50" t="s">
        <v>187</v>
      </c>
      <c r="B50" t="s">
        <v>188</v>
      </c>
      <c r="C50" s="9">
        <v>31551</v>
      </c>
      <c r="D50">
        <f ca="1">IF(Table2[[#This Row],[Tgl Lahir]]="","Unknown",DATEDIF(Table2[[#This Row],[Tgl Lahir]],TODAY(),"Y"))</f>
        <v>40</v>
      </c>
      <c r="E50" s="9">
        <v>41276</v>
      </c>
      <c r="F50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13 tahun 9 bulan</v>
      </c>
      <c r="G50" t="s">
        <v>87</v>
      </c>
      <c r="H50" t="s">
        <v>61</v>
      </c>
      <c r="I50" t="s">
        <v>68</v>
      </c>
      <c r="J50" t="s">
        <v>139</v>
      </c>
      <c r="K50" t="s">
        <v>154</v>
      </c>
      <c r="L50" t="str">
        <f>_xlfn.TEXTJOIN("/",TRUE,Table2[[#This Row],[Departemen]:[Unit]])</f>
        <v>Production &amp; Engineering/Production/Instant Coffee Process/Extractor</v>
      </c>
      <c r="M50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20-04-002-001</v>
      </c>
      <c r="N50" t="s">
        <v>155</v>
      </c>
      <c r="O50" t="str">
        <f>IFERROR(VLOOKUP(Table2[[#This Row],[Atasan]],Table2[[#All],[Hierarchy]:[Kode Posisi]],2,FALSE),"")</f>
        <v>20-04-002-025</v>
      </c>
      <c r="P50" t="s">
        <v>27</v>
      </c>
      <c r="S50" t="str">
        <f>IFERROR(VLOOKUP(Table2[[#This Row],[ID Karyawan]],[1]!Table4[[#All],[Nik]:[Placement]],37,FALSE),"")</f>
        <v/>
      </c>
      <c r="T50" t="s">
        <v>74</v>
      </c>
      <c r="U50" t="s">
        <v>189</v>
      </c>
      <c r="V50" t="s">
        <v>190</v>
      </c>
    </row>
    <row r="51" spans="1:22">
      <c r="A51" t="s">
        <v>191</v>
      </c>
      <c r="B51" t="s">
        <v>192</v>
      </c>
      <c r="C51" s="9">
        <v>34968</v>
      </c>
      <c r="D51">
        <f ca="1">IF(Table2[[#This Row],[Tgl Lahir]]="","Unknown",DATEDIF(Table2[[#This Row],[Tgl Lahir]],TODAY(),"Y"))</f>
        <v>31</v>
      </c>
      <c r="E51" s="9">
        <v>44795</v>
      </c>
      <c r="F51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tahun 1 bulan</v>
      </c>
      <c r="G51" t="s">
        <v>87</v>
      </c>
      <c r="H51" t="s">
        <v>61</v>
      </c>
      <c r="I51" t="s">
        <v>68</v>
      </c>
      <c r="J51" t="s">
        <v>139</v>
      </c>
      <c r="K51" t="s">
        <v>154</v>
      </c>
      <c r="L51" t="str">
        <f>_xlfn.TEXTJOIN("/",TRUE,Table2[[#This Row],[Departemen]:[Unit]])</f>
        <v>Production &amp; Engineering/Production/Instant Coffee Process/Extractor</v>
      </c>
      <c r="M51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20-04-002-001</v>
      </c>
      <c r="N51" t="s">
        <v>155</v>
      </c>
      <c r="O51" t="str">
        <f>IFERROR(VLOOKUP(Table2[[#This Row],[Atasan]],Table2[[#All],[Hierarchy]:[Kode Posisi]],2,FALSE),"")</f>
        <v>20-04-002-025</v>
      </c>
      <c r="P51" t="s">
        <v>27</v>
      </c>
      <c r="S51" t="str">
        <f>IFERROR(VLOOKUP(Table2[[#This Row],[ID Karyawan]],[1]!Table4[[#All],[Nik]:[Placement]],37,FALSE),"")</f>
        <v/>
      </c>
      <c r="T51" t="s">
        <v>41</v>
      </c>
      <c r="U51" t="s">
        <v>122</v>
      </c>
      <c r="V51" t="s">
        <v>193</v>
      </c>
    </row>
    <row r="52" spans="1:22">
      <c r="A52" t="s">
        <v>194</v>
      </c>
      <c r="B52" t="s">
        <v>195</v>
      </c>
      <c r="C52" s="9">
        <v>35142</v>
      </c>
      <c r="D52">
        <f ca="1">IF(Table2[[#This Row],[Tgl Lahir]]="","Unknown",DATEDIF(Table2[[#This Row],[Tgl Lahir]],TODAY(),"Y"))</f>
        <v>30</v>
      </c>
      <c r="E52" s="9">
        <v>44795</v>
      </c>
      <c r="F52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tahun 1 bulan</v>
      </c>
      <c r="G52" t="s">
        <v>87</v>
      </c>
      <c r="H52" t="s">
        <v>61</v>
      </c>
      <c r="I52" t="s">
        <v>68</v>
      </c>
      <c r="J52" t="s">
        <v>139</v>
      </c>
      <c r="K52" t="s">
        <v>154</v>
      </c>
      <c r="L52" t="str">
        <f>_xlfn.TEXTJOIN("/",TRUE,Table2[[#This Row],[Departemen]:[Unit]])</f>
        <v>Production &amp; Engineering/Production/Instant Coffee Process/Extractor</v>
      </c>
      <c r="M52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20-04-002-001</v>
      </c>
      <c r="N52" t="s">
        <v>155</v>
      </c>
      <c r="O52" t="str">
        <f>IFERROR(VLOOKUP(Table2[[#This Row],[Atasan]],Table2[[#All],[Hierarchy]:[Kode Posisi]],2,FALSE),"")</f>
        <v>20-04-002-025</v>
      </c>
      <c r="P52" t="s">
        <v>27</v>
      </c>
      <c r="S52" t="str">
        <f>IFERROR(VLOOKUP(Table2[[#This Row],[ID Karyawan]],[1]!Table4[[#All],[Nik]:[Placement]],37,FALSE),"")</f>
        <v/>
      </c>
      <c r="T52" t="s">
        <v>74</v>
      </c>
      <c r="U52" t="s">
        <v>196</v>
      </c>
      <c r="V52">
        <v>0</v>
      </c>
    </row>
    <row r="53" spans="1:22">
      <c r="A53" t="s">
        <v>197</v>
      </c>
      <c r="B53" t="s">
        <v>198</v>
      </c>
      <c r="C53" s="9">
        <v>35648</v>
      </c>
      <c r="D53">
        <f ca="1">IF(Table2[[#This Row],[Tgl Lahir]]="","Unknown",DATEDIF(Table2[[#This Row],[Tgl Lahir]],TODAY(),"Y"))</f>
        <v>29</v>
      </c>
      <c r="E53" s="9">
        <v>44795</v>
      </c>
      <c r="F53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tahun 1 bulan</v>
      </c>
      <c r="G53" t="s">
        <v>87</v>
      </c>
      <c r="H53" t="s">
        <v>61</v>
      </c>
      <c r="I53" t="s">
        <v>68</v>
      </c>
      <c r="J53" t="s">
        <v>139</v>
      </c>
      <c r="K53" t="s">
        <v>154</v>
      </c>
      <c r="L53" t="str">
        <f>_xlfn.TEXTJOIN("/",TRUE,Table2[[#This Row],[Departemen]:[Unit]])</f>
        <v>Production &amp; Engineering/Production/Instant Coffee Process/Extractor</v>
      </c>
      <c r="M53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20-04-002-001</v>
      </c>
      <c r="N53" t="s">
        <v>155</v>
      </c>
      <c r="O53" t="str">
        <f>IFERROR(VLOOKUP(Table2[[#This Row],[Atasan]],Table2[[#All],[Hierarchy]:[Kode Posisi]],2,FALSE),"")</f>
        <v>20-04-002-025</v>
      </c>
      <c r="P53" t="s">
        <v>27</v>
      </c>
      <c r="S53" t="str">
        <f>IFERROR(VLOOKUP(Table2[[#This Row],[ID Karyawan]],[1]!Table4[[#All],[Nik]:[Placement]],37,FALSE),"")</f>
        <v/>
      </c>
      <c r="T53" t="s">
        <v>121</v>
      </c>
      <c r="U53" t="s">
        <v>199</v>
      </c>
      <c r="V53" t="s">
        <v>200</v>
      </c>
    </row>
    <row r="54" spans="1:22">
      <c r="A54" t="s">
        <v>201</v>
      </c>
      <c r="B54" t="s">
        <v>202</v>
      </c>
      <c r="C54" s="9">
        <v>35718</v>
      </c>
      <c r="D54">
        <f ca="1">IF(Table2[[#This Row],[Tgl Lahir]]="","Unknown",DATEDIF(Table2[[#This Row],[Tgl Lahir]],TODAY(),"Y"))</f>
        <v>28</v>
      </c>
      <c r="E54" s="9">
        <v>44795</v>
      </c>
      <c r="F54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tahun 1 bulan</v>
      </c>
      <c r="G54" t="s">
        <v>87</v>
      </c>
      <c r="H54" t="s">
        <v>61</v>
      </c>
      <c r="I54" t="s">
        <v>68</v>
      </c>
      <c r="J54" t="s">
        <v>139</v>
      </c>
      <c r="K54" t="s">
        <v>154</v>
      </c>
      <c r="L54" t="str">
        <f>_xlfn.TEXTJOIN("/",TRUE,Table2[[#This Row],[Departemen]:[Unit]])</f>
        <v>Production &amp; Engineering/Production/Instant Coffee Process/Extractor</v>
      </c>
      <c r="M54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20-04-002-001</v>
      </c>
      <c r="N54" t="s">
        <v>155</v>
      </c>
      <c r="O54" t="str">
        <f>IFERROR(VLOOKUP(Table2[[#This Row],[Atasan]],Table2[[#All],[Hierarchy]:[Kode Posisi]],2,FALSE),"")</f>
        <v>20-04-002-025</v>
      </c>
      <c r="P54" t="s">
        <v>27</v>
      </c>
      <c r="S54" t="str">
        <f>IFERROR(VLOOKUP(Table2[[#This Row],[ID Karyawan]],[1]!Table4[[#All],[Nik]:[Placement]],37,FALSE),"")</f>
        <v/>
      </c>
      <c r="T54" t="s">
        <v>74</v>
      </c>
      <c r="U54" t="s">
        <v>203</v>
      </c>
      <c r="V54" t="s">
        <v>204</v>
      </c>
    </row>
    <row r="55" spans="1:22">
      <c r="A55" t="s">
        <v>205</v>
      </c>
      <c r="B55" t="s">
        <v>206</v>
      </c>
      <c r="C55" s="9">
        <v>35798</v>
      </c>
      <c r="D55">
        <f ca="1">IF(Table2[[#This Row],[Tgl Lahir]]="","Unknown",DATEDIF(Table2[[#This Row],[Tgl Lahir]],TODAY(),"Y"))</f>
        <v>28</v>
      </c>
      <c r="E55" s="9">
        <v>44795</v>
      </c>
      <c r="F55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tahun 1 bulan</v>
      </c>
      <c r="G55" t="s">
        <v>87</v>
      </c>
      <c r="H55" t="s">
        <v>61</v>
      </c>
      <c r="I55" t="s">
        <v>68</v>
      </c>
      <c r="J55" t="s">
        <v>139</v>
      </c>
      <c r="K55" t="s">
        <v>154</v>
      </c>
      <c r="L55" t="str">
        <f>_xlfn.TEXTJOIN("/",TRUE,Table2[[#This Row],[Departemen]:[Unit]])</f>
        <v>Production &amp; Engineering/Production/Instant Coffee Process/Extractor</v>
      </c>
      <c r="M55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20-04-002-001</v>
      </c>
      <c r="N55" t="s">
        <v>155</v>
      </c>
      <c r="O55" t="str">
        <f>IFERROR(VLOOKUP(Table2[[#This Row],[Atasan]],Table2[[#All],[Hierarchy]:[Kode Posisi]],2,FALSE),"")</f>
        <v>20-04-002-025</v>
      </c>
      <c r="P55" t="s">
        <v>27</v>
      </c>
      <c r="S55" t="str">
        <f>IFERROR(VLOOKUP(Table2[[#This Row],[ID Karyawan]],[1]!Table4[[#All],[Nik]:[Placement]],37,FALSE),"")</f>
        <v/>
      </c>
      <c r="T55" t="s">
        <v>121</v>
      </c>
      <c r="U55" t="s">
        <v>207</v>
      </c>
      <c r="V55" t="s">
        <v>208</v>
      </c>
    </row>
    <row r="56" spans="1:22">
      <c r="A56" t="s">
        <v>209</v>
      </c>
      <c r="B56" t="s">
        <v>210</v>
      </c>
      <c r="C56" s="9">
        <v>36260</v>
      </c>
      <c r="D56">
        <f ca="1">IF(Table2[[#This Row],[Tgl Lahir]]="","Unknown",DATEDIF(Table2[[#This Row],[Tgl Lahir]],TODAY(),"Y"))</f>
        <v>27</v>
      </c>
      <c r="E56" s="9">
        <v>44795</v>
      </c>
      <c r="F56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tahun 1 bulan</v>
      </c>
      <c r="G56" t="s">
        <v>87</v>
      </c>
      <c r="H56" t="s">
        <v>61</v>
      </c>
      <c r="I56" t="s">
        <v>68</v>
      </c>
      <c r="J56" t="s">
        <v>139</v>
      </c>
      <c r="K56" t="s">
        <v>154</v>
      </c>
      <c r="L56" t="str">
        <f>_xlfn.TEXTJOIN("/",TRUE,Table2[[#This Row],[Departemen]:[Unit]])</f>
        <v>Production &amp; Engineering/Production/Instant Coffee Process/Extractor</v>
      </c>
      <c r="M56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20-04-002-001</v>
      </c>
      <c r="N56" t="s">
        <v>155</v>
      </c>
      <c r="O56" t="str">
        <f>IFERROR(VLOOKUP(Table2[[#This Row],[Atasan]],Table2[[#All],[Hierarchy]:[Kode Posisi]],2,FALSE),"")</f>
        <v>20-04-002-025</v>
      </c>
      <c r="P56" t="s">
        <v>27</v>
      </c>
      <c r="S56" t="str">
        <f>IFERROR(VLOOKUP(Table2[[#This Row],[ID Karyawan]],[1]!Table4[[#All],[Nik]:[Placement]],37,FALSE),"")</f>
        <v/>
      </c>
      <c r="T56" t="s">
        <v>74</v>
      </c>
      <c r="U56" t="s">
        <v>211</v>
      </c>
      <c r="V56" t="s">
        <v>80</v>
      </c>
    </row>
    <row r="57" spans="1:22">
      <c r="A57" t="s">
        <v>212</v>
      </c>
      <c r="B57" t="s">
        <v>213</v>
      </c>
      <c r="C57" s="9">
        <v>36748</v>
      </c>
      <c r="D57">
        <f ca="1">IF(Table2[[#This Row],[Tgl Lahir]]="","Unknown",DATEDIF(Table2[[#This Row],[Tgl Lahir]],TODAY(),"Y"))</f>
        <v>26</v>
      </c>
      <c r="E57" s="9">
        <v>44796</v>
      </c>
      <c r="F57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tahun 1 bulan</v>
      </c>
      <c r="G57" t="s">
        <v>87</v>
      </c>
      <c r="H57" t="s">
        <v>61</v>
      </c>
      <c r="I57" t="s">
        <v>68</v>
      </c>
      <c r="J57" t="s">
        <v>139</v>
      </c>
      <c r="K57" t="s">
        <v>154</v>
      </c>
      <c r="L57" t="str">
        <f>_xlfn.TEXTJOIN("/",TRUE,Table2[[#This Row],[Departemen]:[Unit]])</f>
        <v>Production &amp; Engineering/Production/Instant Coffee Process/Extractor</v>
      </c>
      <c r="M57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20-04-002-001</v>
      </c>
      <c r="N57" t="s">
        <v>155</v>
      </c>
      <c r="O57" t="str">
        <f>IFERROR(VLOOKUP(Table2[[#This Row],[Atasan]],Table2[[#All],[Hierarchy]:[Kode Posisi]],2,FALSE),"")</f>
        <v>20-04-002-025</v>
      </c>
      <c r="P57" t="s">
        <v>27</v>
      </c>
      <c r="S57" t="str">
        <f>IFERROR(VLOOKUP(Table2[[#This Row],[ID Karyawan]],[1]!Table4[[#All],[Nik]:[Placement]],37,FALSE),"")</f>
        <v/>
      </c>
      <c r="T57" t="s">
        <v>74</v>
      </c>
      <c r="U57" t="s">
        <v>214</v>
      </c>
      <c r="V57" t="s">
        <v>215</v>
      </c>
    </row>
    <row r="58" spans="1:22">
      <c r="A58" t="s">
        <v>216</v>
      </c>
      <c r="B58" t="s">
        <v>217</v>
      </c>
      <c r="C58" s="9">
        <v>37157</v>
      </c>
      <c r="D58">
        <f ca="1">IF(Table2[[#This Row],[Tgl Lahir]]="","Unknown",DATEDIF(Table2[[#This Row],[Tgl Lahir]],TODAY(),"Y"))</f>
        <v>25</v>
      </c>
      <c r="E58" s="9">
        <v>44795</v>
      </c>
      <c r="F58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tahun 1 bulan</v>
      </c>
      <c r="G58" t="s">
        <v>87</v>
      </c>
      <c r="H58" t="s">
        <v>61</v>
      </c>
      <c r="I58" t="s">
        <v>68</v>
      </c>
      <c r="J58" t="s">
        <v>139</v>
      </c>
      <c r="K58" t="s">
        <v>154</v>
      </c>
      <c r="L58" t="str">
        <f>_xlfn.TEXTJOIN("/",TRUE,Table2[[#This Row],[Departemen]:[Unit]])</f>
        <v>Production &amp; Engineering/Production/Instant Coffee Process/Extractor</v>
      </c>
      <c r="M58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20-04-002-001</v>
      </c>
      <c r="N58" t="s">
        <v>155</v>
      </c>
      <c r="O58" t="str">
        <f>IFERROR(VLOOKUP(Table2[[#This Row],[Atasan]],Table2[[#All],[Hierarchy]:[Kode Posisi]],2,FALSE),"")</f>
        <v>20-04-002-025</v>
      </c>
      <c r="P58" t="s">
        <v>27</v>
      </c>
      <c r="S58" t="str">
        <f>IFERROR(VLOOKUP(Table2[[#This Row],[ID Karyawan]],[1]!Table4[[#All],[Nik]:[Placement]],37,FALSE),"")</f>
        <v/>
      </c>
      <c r="T58" t="s">
        <v>74</v>
      </c>
      <c r="U58" t="s">
        <v>218</v>
      </c>
      <c r="V58" t="s">
        <v>219</v>
      </c>
    </row>
    <row r="59" spans="1:22">
      <c r="A59" t="s">
        <v>220</v>
      </c>
      <c r="B59" t="s">
        <v>221</v>
      </c>
      <c r="C59" s="9">
        <v>37303</v>
      </c>
      <c r="D59">
        <f ca="1">IF(Table2[[#This Row],[Tgl Lahir]]="","Unknown",DATEDIF(Table2[[#This Row],[Tgl Lahir]],TODAY(),"Y"))</f>
        <v>24</v>
      </c>
      <c r="E59" s="9">
        <v>44795</v>
      </c>
      <c r="F59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tahun 1 bulan</v>
      </c>
      <c r="G59" t="s">
        <v>87</v>
      </c>
      <c r="H59" t="s">
        <v>61</v>
      </c>
      <c r="I59" t="s">
        <v>68</v>
      </c>
      <c r="J59" t="s">
        <v>139</v>
      </c>
      <c r="K59" t="s">
        <v>154</v>
      </c>
      <c r="L59" t="str">
        <f>_xlfn.TEXTJOIN("/",TRUE,Table2[[#This Row],[Departemen]:[Unit]])</f>
        <v>Production &amp; Engineering/Production/Instant Coffee Process/Extractor</v>
      </c>
      <c r="M59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20-04-002-001</v>
      </c>
      <c r="N59" t="s">
        <v>155</v>
      </c>
      <c r="O59" t="str">
        <f>IFERROR(VLOOKUP(Table2[[#This Row],[Atasan]],Table2[[#All],[Hierarchy]:[Kode Posisi]],2,FALSE),"")</f>
        <v>20-04-002-025</v>
      </c>
      <c r="P59" t="s">
        <v>27</v>
      </c>
      <c r="S59" t="str">
        <f>IFERROR(VLOOKUP(Table2[[#This Row],[ID Karyawan]],[1]!Table4[[#All],[Nik]:[Placement]],37,FALSE),"")</f>
        <v/>
      </c>
      <c r="T59" t="s">
        <v>74</v>
      </c>
      <c r="U59" t="s">
        <v>222</v>
      </c>
      <c r="V59" t="s">
        <v>223</v>
      </c>
    </row>
    <row r="60" spans="1:22">
      <c r="A60" t="s">
        <v>224</v>
      </c>
      <c r="B60" t="s">
        <v>225</v>
      </c>
      <c r="C60" s="9">
        <v>37665</v>
      </c>
      <c r="D60">
        <f ca="1">IF(Table2[[#This Row],[Tgl Lahir]]="","Unknown",DATEDIF(Table2[[#This Row],[Tgl Lahir]],TODAY(),"Y"))</f>
        <v>23</v>
      </c>
      <c r="E60" s="9">
        <v>44795</v>
      </c>
      <c r="F60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tahun 1 bulan</v>
      </c>
      <c r="G60" t="s">
        <v>87</v>
      </c>
      <c r="H60" t="s">
        <v>61</v>
      </c>
      <c r="I60" t="s">
        <v>68</v>
      </c>
      <c r="J60" t="s">
        <v>139</v>
      </c>
      <c r="K60" t="s">
        <v>154</v>
      </c>
      <c r="L60" t="str">
        <f>_xlfn.TEXTJOIN("/",TRUE,Table2[[#This Row],[Departemen]:[Unit]])</f>
        <v>Production &amp; Engineering/Production/Instant Coffee Process/Extractor</v>
      </c>
      <c r="M60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20-04-002-001</v>
      </c>
      <c r="N60" t="s">
        <v>155</v>
      </c>
      <c r="O60" t="str">
        <f>IFERROR(VLOOKUP(Table2[[#This Row],[Atasan]],Table2[[#All],[Hierarchy]:[Kode Posisi]],2,FALSE),"")</f>
        <v>20-04-002-025</v>
      </c>
      <c r="P60" t="s">
        <v>27</v>
      </c>
      <c r="S60" t="str">
        <f>IFERROR(VLOOKUP(Table2[[#This Row],[ID Karyawan]],[1]!Table4[[#All],[Nik]:[Placement]],37,FALSE),"")</f>
        <v/>
      </c>
      <c r="T60" t="s">
        <v>74</v>
      </c>
      <c r="U60" t="s">
        <v>178</v>
      </c>
      <c r="V60" t="s">
        <v>80</v>
      </c>
    </row>
    <row r="61" spans="1:22">
      <c r="A61" t="s">
        <v>226</v>
      </c>
      <c r="B61" t="s">
        <v>227</v>
      </c>
      <c r="C61" s="9">
        <v>26754</v>
      </c>
      <c r="D61">
        <f ca="1">IF(Table2[[#This Row],[Tgl Lahir]]="","Unknown",DATEDIF(Table2[[#This Row],[Tgl Lahir]],TODAY(),"Y"))</f>
        <v>53</v>
      </c>
      <c r="E61" s="9">
        <v>35373</v>
      </c>
      <c r="F61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11 bulan</v>
      </c>
      <c r="G61" t="s">
        <v>101</v>
      </c>
      <c r="H61" t="s">
        <v>61</v>
      </c>
      <c r="I61" t="s">
        <v>68</v>
      </c>
      <c r="J61" t="s">
        <v>139</v>
      </c>
      <c r="K61" t="s">
        <v>228</v>
      </c>
      <c r="L61" t="str">
        <f>_xlfn.TEXTJOIN("/",TRUE,Table2[[#This Row],[Departemen]:[Unit]])</f>
        <v>Production &amp; Engineering/Production/Instant Coffee Process/Evaporator</v>
      </c>
      <c r="M61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20-04-002-002</v>
      </c>
      <c r="N61" t="s">
        <v>155</v>
      </c>
      <c r="O61" t="str">
        <f>IFERROR(VLOOKUP(Table2[[#This Row],[Atasan]],Table2[[#All],[Hierarchy]:[Kode Posisi]],2,FALSE),"")</f>
        <v>20-04-002-025</v>
      </c>
      <c r="P61" t="s">
        <v>27</v>
      </c>
      <c r="S61" t="str">
        <f>IFERROR(VLOOKUP(Table2[[#This Row],[ID Karyawan]],[1]!Table4[[#All],[Nik]:[Placement]],37,FALSE),"")</f>
        <v/>
      </c>
      <c r="T61" t="s">
        <v>74</v>
      </c>
      <c r="U61" t="s">
        <v>109</v>
      </c>
      <c r="V61">
        <v>0</v>
      </c>
    </row>
    <row r="62" spans="1:22">
      <c r="A62" t="s">
        <v>229</v>
      </c>
      <c r="B62" t="s">
        <v>230</v>
      </c>
      <c r="C62" s="9">
        <v>27400</v>
      </c>
      <c r="D62">
        <f ca="1">IF(Table2[[#This Row],[Tgl Lahir]]="","Unknown",DATEDIF(Table2[[#This Row],[Tgl Lahir]],TODAY(),"Y"))</f>
        <v>51</v>
      </c>
      <c r="E62" s="9">
        <v>35548</v>
      </c>
      <c r="F62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5 bulan</v>
      </c>
      <c r="G62" t="s">
        <v>101</v>
      </c>
      <c r="H62" t="s">
        <v>61</v>
      </c>
      <c r="I62" t="s">
        <v>68</v>
      </c>
      <c r="J62" t="s">
        <v>139</v>
      </c>
      <c r="K62" t="s">
        <v>228</v>
      </c>
      <c r="L62" t="str">
        <f>_xlfn.TEXTJOIN("/",TRUE,Table2[[#This Row],[Departemen]:[Unit]])</f>
        <v>Production &amp; Engineering/Production/Instant Coffee Process/Evaporator</v>
      </c>
      <c r="M62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20-04-002-002</v>
      </c>
      <c r="N62" t="s">
        <v>155</v>
      </c>
      <c r="O62" t="str">
        <f>IFERROR(VLOOKUP(Table2[[#This Row],[Atasan]],Table2[[#All],[Hierarchy]:[Kode Posisi]],2,FALSE),"")</f>
        <v>20-04-002-025</v>
      </c>
      <c r="P62" t="s">
        <v>27</v>
      </c>
      <c r="S62" t="str">
        <f>IFERROR(VLOOKUP(Table2[[#This Row],[ID Karyawan]],[1]!Table4[[#All],[Nik]:[Placement]],37,FALSE),"")</f>
        <v/>
      </c>
      <c r="T62" t="s">
        <v>74</v>
      </c>
      <c r="U62" t="s">
        <v>231</v>
      </c>
      <c r="V62" t="s">
        <v>232</v>
      </c>
    </row>
    <row r="63" spans="1:22">
      <c r="A63" t="s">
        <v>233</v>
      </c>
      <c r="B63" t="s">
        <v>234</v>
      </c>
      <c r="C63" s="9">
        <v>28111</v>
      </c>
      <c r="D63">
        <f ca="1">IF(Table2[[#This Row],[Tgl Lahir]]="","Unknown",DATEDIF(Table2[[#This Row],[Tgl Lahir]],TODAY(),"Y"))</f>
        <v>49</v>
      </c>
      <c r="E63" s="9">
        <v>35405</v>
      </c>
      <c r="F63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10 bulan</v>
      </c>
      <c r="G63" t="s">
        <v>101</v>
      </c>
      <c r="H63" t="s">
        <v>61</v>
      </c>
      <c r="I63" t="s">
        <v>68</v>
      </c>
      <c r="J63" t="s">
        <v>139</v>
      </c>
      <c r="K63" t="s">
        <v>228</v>
      </c>
      <c r="L63" t="str">
        <f>_xlfn.TEXTJOIN("/",TRUE,Table2[[#This Row],[Departemen]:[Unit]])</f>
        <v>Production &amp; Engineering/Production/Instant Coffee Process/Evaporator</v>
      </c>
      <c r="M63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20-04-002-002</v>
      </c>
      <c r="N63" t="s">
        <v>155</v>
      </c>
      <c r="O63" t="str">
        <f>IFERROR(VLOOKUP(Table2[[#This Row],[Atasan]],Table2[[#All],[Hierarchy]:[Kode Posisi]],2,FALSE),"")</f>
        <v>20-04-002-025</v>
      </c>
      <c r="P63" t="s">
        <v>27</v>
      </c>
      <c r="S63" t="str">
        <f>IFERROR(VLOOKUP(Table2[[#This Row],[ID Karyawan]],[1]!Table4[[#All],[Nik]:[Placement]],37,FALSE),"")</f>
        <v/>
      </c>
      <c r="T63" t="s">
        <v>74</v>
      </c>
      <c r="U63">
        <v>0</v>
      </c>
      <c r="V63" t="s">
        <v>235</v>
      </c>
    </row>
    <row r="64" spans="1:22">
      <c r="A64" t="s">
        <v>236</v>
      </c>
      <c r="B64" t="s">
        <v>237</v>
      </c>
      <c r="C64" s="9">
        <v>28106</v>
      </c>
      <c r="D64">
        <f ca="1">IF(Table2[[#This Row],[Tgl Lahir]]="","Unknown",DATEDIF(Table2[[#This Row],[Tgl Lahir]],TODAY(),"Y"))</f>
        <v>49</v>
      </c>
      <c r="E64" s="9">
        <v>37809</v>
      </c>
      <c r="F64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23 tahun 3 bulan</v>
      </c>
      <c r="G64" t="s">
        <v>101</v>
      </c>
      <c r="H64" t="s">
        <v>61</v>
      </c>
      <c r="I64" t="s">
        <v>68</v>
      </c>
      <c r="J64" t="s">
        <v>139</v>
      </c>
      <c r="K64" t="s">
        <v>228</v>
      </c>
      <c r="L64" t="str">
        <f>_xlfn.TEXTJOIN("/",TRUE,Table2[[#This Row],[Departemen]:[Unit]])</f>
        <v>Production &amp; Engineering/Production/Instant Coffee Process/Evaporator</v>
      </c>
      <c r="M64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20-04-002-002</v>
      </c>
      <c r="N64" t="s">
        <v>155</v>
      </c>
      <c r="O64" t="str">
        <f>IFERROR(VLOOKUP(Table2[[#This Row],[Atasan]],Table2[[#All],[Hierarchy]:[Kode Posisi]],2,FALSE),"")</f>
        <v>20-04-002-025</v>
      </c>
      <c r="P64" t="s">
        <v>27</v>
      </c>
      <c r="S64" t="str">
        <f>IFERROR(VLOOKUP(Table2[[#This Row],[ID Karyawan]],[1]!Table4[[#All],[Nik]:[Placement]],37,FALSE),"")</f>
        <v/>
      </c>
      <c r="T64" t="s">
        <v>74</v>
      </c>
      <c r="U64" t="s">
        <v>122</v>
      </c>
      <c r="V64" t="s">
        <v>238</v>
      </c>
    </row>
    <row r="65" spans="1:22">
      <c r="A65" t="s">
        <v>239</v>
      </c>
      <c r="B65" t="s">
        <v>240</v>
      </c>
      <c r="C65" s="9">
        <v>32815</v>
      </c>
      <c r="D65">
        <f ca="1">IF(Table2[[#This Row],[Tgl Lahir]]="","Unknown",DATEDIF(Table2[[#This Row],[Tgl Lahir]],TODAY(),"Y"))</f>
        <v>36</v>
      </c>
      <c r="E65" s="9">
        <v>40730</v>
      </c>
      <c r="F65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15 tahun 3 bulan</v>
      </c>
      <c r="G65" t="s">
        <v>101</v>
      </c>
      <c r="H65" t="s">
        <v>61</v>
      </c>
      <c r="I65" t="s">
        <v>68</v>
      </c>
      <c r="J65" t="s">
        <v>139</v>
      </c>
      <c r="K65" t="s">
        <v>228</v>
      </c>
      <c r="L65" t="str">
        <f>_xlfn.TEXTJOIN("/",TRUE,Table2[[#This Row],[Departemen]:[Unit]])</f>
        <v>Production &amp; Engineering/Production/Instant Coffee Process/Evaporator</v>
      </c>
      <c r="M65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20-04-002-002</v>
      </c>
      <c r="N65" t="s">
        <v>155</v>
      </c>
      <c r="O65" t="str">
        <f>IFERROR(VLOOKUP(Table2[[#This Row],[Atasan]],Table2[[#All],[Hierarchy]:[Kode Posisi]],2,FALSE),"")</f>
        <v>20-04-002-025</v>
      </c>
      <c r="P65" t="s">
        <v>27</v>
      </c>
      <c r="S65" t="str">
        <f>IFERROR(VLOOKUP(Table2[[#This Row],[ID Karyawan]],[1]!Table4[[#All],[Nik]:[Placement]],37,FALSE),"")</f>
        <v/>
      </c>
      <c r="T65" t="s">
        <v>74</v>
      </c>
      <c r="U65" t="s">
        <v>241</v>
      </c>
      <c r="V65" t="s">
        <v>242</v>
      </c>
    </row>
    <row r="66" spans="1:22">
      <c r="A66" t="s">
        <v>243</v>
      </c>
      <c r="B66" t="s">
        <v>244</v>
      </c>
      <c r="C66" s="9">
        <v>34805</v>
      </c>
      <c r="D66">
        <f ca="1">IF(Table2[[#This Row],[Tgl Lahir]]="","Unknown",DATEDIF(Table2[[#This Row],[Tgl Lahir]],TODAY(),"Y"))</f>
        <v>31</v>
      </c>
      <c r="E66" s="9">
        <v>44795</v>
      </c>
      <c r="F66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tahun 1 bulan</v>
      </c>
      <c r="G66" t="s">
        <v>101</v>
      </c>
      <c r="H66" t="s">
        <v>61</v>
      </c>
      <c r="I66" t="s">
        <v>68</v>
      </c>
      <c r="J66" t="s">
        <v>139</v>
      </c>
      <c r="K66" t="s">
        <v>228</v>
      </c>
      <c r="L66" t="str">
        <f>_xlfn.TEXTJOIN("/",TRUE,Table2[[#This Row],[Departemen]:[Unit]])</f>
        <v>Production &amp; Engineering/Production/Instant Coffee Process/Evaporator</v>
      </c>
      <c r="M66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20-04-002-002</v>
      </c>
      <c r="N66" t="s">
        <v>155</v>
      </c>
      <c r="O66" t="str">
        <f>IFERROR(VLOOKUP(Table2[[#This Row],[Atasan]],Table2[[#All],[Hierarchy]:[Kode Posisi]],2,FALSE),"")</f>
        <v>20-04-002-025</v>
      </c>
      <c r="P66" t="s">
        <v>27</v>
      </c>
      <c r="S66" t="str">
        <f>IFERROR(VLOOKUP(Table2[[#This Row],[ID Karyawan]],[1]!Table4[[#All],[Nik]:[Placement]],37,FALSE),"")</f>
        <v/>
      </c>
      <c r="T66" t="s">
        <v>41</v>
      </c>
      <c r="U66" t="s">
        <v>245</v>
      </c>
      <c r="V66" t="s">
        <v>246</v>
      </c>
    </row>
    <row r="67" spans="1:22">
      <c r="A67" t="s">
        <v>247</v>
      </c>
      <c r="B67" t="s">
        <v>248</v>
      </c>
      <c r="C67" s="9">
        <v>35119</v>
      </c>
      <c r="D67">
        <f ca="1">IF(Table2[[#This Row],[Tgl Lahir]]="","Unknown",DATEDIF(Table2[[#This Row],[Tgl Lahir]],TODAY(),"Y"))</f>
        <v>30</v>
      </c>
      <c r="E67" s="9">
        <v>43739</v>
      </c>
      <c r="F67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7 tahun 0 bulan</v>
      </c>
      <c r="G67" t="s">
        <v>101</v>
      </c>
      <c r="H67" t="s">
        <v>61</v>
      </c>
      <c r="I67" t="s">
        <v>68</v>
      </c>
      <c r="J67" t="s">
        <v>139</v>
      </c>
      <c r="K67" t="s">
        <v>228</v>
      </c>
      <c r="L67" t="str">
        <f>_xlfn.TEXTJOIN("/",TRUE,Table2[[#This Row],[Departemen]:[Unit]])</f>
        <v>Production &amp; Engineering/Production/Instant Coffee Process/Evaporator</v>
      </c>
      <c r="M67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20-04-002-002</v>
      </c>
      <c r="N67" t="s">
        <v>155</v>
      </c>
      <c r="O67" t="str">
        <f>IFERROR(VLOOKUP(Table2[[#This Row],[Atasan]],Table2[[#All],[Hierarchy]:[Kode Posisi]],2,FALSE),"")</f>
        <v>20-04-002-025</v>
      </c>
      <c r="P67" t="s">
        <v>27</v>
      </c>
      <c r="S67" t="str">
        <f>IFERROR(VLOOKUP(Table2[[#This Row],[ID Karyawan]],[1]!Table4[[#All],[Nik]:[Placement]],37,FALSE),"")</f>
        <v/>
      </c>
      <c r="T67" t="s">
        <v>41</v>
      </c>
      <c r="U67" t="s">
        <v>140</v>
      </c>
      <c r="V67" t="s">
        <v>249</v>
      </c>
    </row>
    <row r="68" spans="1:22">
      <c r="A68" t="s">
        <v>250</v>
      </c>
      <c r="B68" t="s">
        <v>251</v>
      </c>
      <c r="C68" s="9">
        <v>35222</v>
      </c>
      <c r="D68">
        <f ca="1">IF(Table2[[#This Row],[Tgl Lahir]]="","Unknown",DATEDIF(Table2[[#This Row],[Tgl Lahir]],TODAY(),"Y"))</f>
        <v>30</v>
      </c>
      <c r="E68" s="9">
        <v>43739</v>
      </c>
      <c r="F68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7 tahun 0 bulan</v>
      </c>
      <c r="G68" t="s">
        <v>101</v>
      </c>
      <c r="H68" t="s">
        <v>61</v>
      </c>
      <c r="I68" t="s">
        <v>68</v>
      </c>
      <c r="J68" t="s">
        <v>139</v>
      </c>
      <c r="K68" t="s">
        <v>228</v>
      </c>
      <c r="L68" t="str">
        <f>_xlfn.TEXTJOIN("/",TRUE,Table2[[#This Row],[Departemen]:[Unit]])</f>
        <v>Production &amp; Engineering/Production/Instant Coffee Process/Evaporator</v>
      </c>
      <c r="M68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20-04-002-002</v>
      </c>
      <c r="N68" t="s">
        <v>155</v>
      </c>
      <c r="O68" t="str">
        <f>IFERROR(VLOOKUP(Table2[[#This Row],[Atasan]],Table2[[#All],[Hierarchy]:[Kode Posisi]],2,FALSE),"")</f>
        <v>20-04-002-025</v>
      </c>
      <c r="P68" t="s">
        <v>27</v>
      </c>
      <c r="S68" t="str">
        <f>IFERROR(VLOOKUP(Table2[[#This Row],[ID Karyawan]],[1]!Table4[[#All],[Nik]:[Placement]],37,FALSE),"")</f>
        <v/>
      </c>
      <c r="T68" t="s">
        <v>74</v>
      </c>
      <c r="U68" t="s">
        <v>252</v>
      </c>
      <c r="V68" t="s">
        <v>253</v>
      </c>
    </row>
    <row r="69" spans="1:22">
      <c r="A69" t="s">
        <v>254</v>
      </c>
      <c r="B69" t="s">
        <v>255</v>
      </c>
      <c r="C69" s="9">
        <v>27145</v>
      </c>
      <c r="D69">
        <f ca="1">IF(Table2[[#This Row],[Tgl Lahir]]="","Unknown",DATEDIF(Table2[[#This Row],[Tgl Lahir]],TODAY(),"Y"))</f>
        <v>52</v>
      </c>
      <c r="E69" s="9">
        <v>35548</v>
      </c>
      <c r="F69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5 bulan</v>
      </c>
      <c r="G69" t="s">
        <v>87</v>
      </c>
      <c r="H69" t="s">
        <v>61</v>
      </c>
      <c r="I69" t="s">
        <v>68</v>
      </c>
      <c r="J69" t="s">
        <v>139</v>
      </c>
      <c r="K69" t="s">
        <v>228</v>
      </c>
      <c r="L69" t="str">
        <f>_xlfn.TEXTJOIN("/",TRUE,Table2[[#This Row],[Departemen]:[Unit]])</f>
        <v>Production &amp; Engineering/Production/Instant Coffee Process/Evaporator</v>
      </c>
      <c r="M69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20-04-002-002</v>
      </c>
      <c r="N69" t="s">
        <v>155</v>
      </c>
      <c r="O69" t="str">
        <f>IFERROR(VLOOKUP(Table2[[#This Row],[Atasan]],Table2[[#All],[Hierarchy]:[Kode Posisi]],2,FALSE),"")</f>
        <v>20-04-002-025</v>
      </c>
      <c r="P69" t="s">
        <v>27</v>
      </c>
      <c r="S69" t="str">
        <f>IFERROR(VLOOKUP(Table2[[#This Row],[ID Karyawan]],[1]!Table4[[#All],[Nik]:[Placement]],37,FALSE),"")</f>
        <v/>
      </c>
      <c r="T69" t="s">
        <v>74</v>
      </c>
      <c r="U69">
        <v>0</v>
      </c>
      <c r="V69">
        <v>0</v>
      </c>
    </row>
    <row r="70" spans="1:22">
      <c r="A70" t="s">
        <v>256</v>
      </c>
      <c r="B70" t="s">
        <v>257</v>
      </c>
      <c r="C70" s="9">
        <v>28705</v>
      </c>
      <c r="D70">
        <f ca="1">IF(Table2[[#This Row],[Tgl Lahir]]="","Unknown",DATEDIF(Table2[[#This Row],[Tgl Lahir]],TODAY(),"Y"))</f>
        <v>48</v>
      </c>
      <c r="E70" s="9">
        <v>39622</v>
      </c>
      <c r="F70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18 tahun 3 bulan</v>
      </c>
      <c r="G70" t="s">
        <v>87</v>
      </c>
      <c r="H70" t="s">
        <v>61</v>
      </c>
      <c r="I70" t="s">
        <v>68</v>
      </c>
      <c r="J70" t="s">
        <v>139</v>
      </c>
      <c r="K70" t="s">
        <v>228</v>
      </c>
      <c r="L70" t="str">
        <f>_xlfn.TEXTJOIN("/",TRUE,Table2[[#This Row],[Departemen]:[Unit]])</f>
        <v>Production &amp; Engineering/Production/Instant Coffee Process/Evaporator</v>
      </c>
      <c r="M70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20-04-002-002</v>
      </c>
      <c r="N70" t="s">
        <v>155</v>
      </c>
      <c r="O70" t="str">
        <f>IFERROR(VLOOKUP(Table2[[#This Row],[Atasan]],Table2[[#All],[Hierarchy]:[Kode Posisi]],2,FALSE),"")</f>
        <v>20-04-002-025</v>
      </c>
      <c r="P70" t="s">
        <v>27</v>
      </c>
      <c r="S70" t="str">
        <f>IFERROR(VLOOKUP(Table2[[#This Row],[ID Karyawan]],[1]!Table4[[#All],[Nik]:[Placement]],37,FALSE),"")</f>
        <v/>
      </c>
      <c r="T70" t="s">
        <v>74</v>
      </c>
      <c r="U70" t="s">
        <v>258</v>
      </c>
      <c r="V70" t="s">
        <v>259</v>
      </c>
    </row>
    <row r="71" spans="1:22">
      <c r="A71" t="s">
        <v>260</v>
      </c>
      <c r="B71" t="s">
        <v>261</v>
      </c>
      <c r="C71" s="9">
        <v>30566</v>
      </c>
      <c r="D71">
        <f ca="1">IF(Table2[[#This Row],[Tgl Lahir]]="","Unknown",DATEDIF(Table2[[#This Row],[Tgl Lahir]],TODAY(),"Y"))</f>
        <v>43</v>
      </c>
      <c r="E71" s="9">
        <v>38495</v>
      </c>
      <c r="F71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21 tahun 4 bulan</v>
      </c>
      <c r="G71" t="s">
        <v>87</v>
      </c>
      <c r="H71" t="s">
        <v>61</v>
      </c>
      <c r="I71" t="s">
        <v>68</v>
      </c>
      <c r="J71" t="s">
        <v>139</v>
      </c>
      <c r="K71" t="s">
        <v>228</v>
      </c>
      <c r="L71" t="str">
        <f>_xlfn.TEXTJOIN("/",TRUE,Table2[[#This Row],[Departemen]:[Unit]])</f>
        <v>Production &amp; Engineering/Production/Instant Coffee Process/Evaporator</v>
      </c>
      <c r="M71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20-04-002-002</v>
      </c>
      <c r="N71" t="s">
        <v>155</v>
      </c>
      <c r="O71" t="str">
        <f>IFERROR(VLOOKUP(Table2[[#This Row],[Atasan]],Table2[[#All],[Hierarchy]:[Kode Posisi]],2,FALSE),"")</f>
        <v>20-04-002-025</v>
      </c>
      <c r="P71" t="s">
        <v>27</v>
      </c>
      <c r="S71" t="str">
        <f>IFERROR(VLOOKUP(Table2[[#This Row],[ID Karyawan]],[1]!Table4[[#All],[Nik]:[Placement]],37,FALSE),"")</f>
        <v/>
      </c>
      <c r="T71" t="s">
        <v>74</v>
      </c>
      <c r="U71" t="s">
        <v>262</v>
      </c>
      <c r="V71" t="s">
        <v>263</v>
      </c>
    </row>
    <row r="72" spans="1:22">
      <c r="A72" t="s">
        <v>264</v>
      </c>
      <c r="B72" t="s">
        <v>265</v>
      </c>
      <c r="C72" s="9">
        <v>32512</v>
      </c>
      <c r="D72">
        <f ca="1">IF(Table2[[#This Row],[Tgl Lahir]]="","Unknown",DATEDIF(Table2[[#This Row],[Tgl Lahir]],TODAY(),"Y"))</f>
        <v>37</v>
      </c>
      <c r="E72" s="9">
        <v>43318</v>
      </c>
      <c r="F72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8 tahun 2 bulan</v>
      </c>
      <c r="G72" t="s">
        <v>87</v>
      </c>
      <c r="H72" t="s">
        <v>61</v>
      </c>
      <c r="I72" t="s">
        <v>68</v>
      </c>
      <c r="J72" t="s">
        <v>139</v>
      </c>
      <c r="K72" t="s">
        <v>228</v>
      </c>
      <c r="L72" t="str">
        <f>_xlfn.TEXTJOIN("/",TRUE,Table2[[#This Row],[Departemen]:[Unit]])</f>
        <v>Production &amp; Engineering/Production/Instant Coffee Process/Evaporator</v>
      </c>
      <c r="M72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20-04-002-002</v>
      </c>
      <c r="N72" t="s">
        <v>155</v>
      </c>
      <c r="O72" t="str">
        <f>IFERROR(VLOOKUP(Table2[[#This Row],[Atasan]],Table2[[#All],[Hierarchy]:[Kode Posisi]],2,FALSE),"")</f>
        <v>20-04-002-025</v>
      </c>
      <c r="P72" t="s">
        <v>27</v>
      </c>
      <c r="S72" t="str">
        <f>IFERROR(VLOOKUP(Table2[[#This Row],[ID Karyawan]],[1]!Table4[[#All],[Nik]:[Placement]],37,FALSE),"")</f>
        <v/>
      </c>
      <c r="T72" t="s">
        <v>41</v>
      </c>
      <c r="U72" t="s">
        <v>266</v>
      </c>
      <c r="V72" t="s">
        <v>267</v>
      </c>
    </row>
    <row r="73" spans="1:22">
      <c r="A73" t="s">
        <v>268</v>
      </c>
      <c r="B73" t="s">
        <v>269</v>
      </c>
      <c r="C73" s="9">
        <v>33113</v>
      </c>
      <c r="D73">
        <f ca="1">IF(Table2[[#This Row],[Tgl Lahir]]="","Unknown",DATEDIF(Table2[[#This Row],[Tgl Lahir]],TODAY(),"Y"))</f>
        <v>36</v>
      </c>
      <c r="E73" s="9">
        <v>44795</v>
      </c>
      <c r="F73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tahun 1 bulan</v>
      </c>
      <c r="G73" t="s">
        <v>87</v>
      </c>
      <c r="H73" t="s">
        <v>61</v>
      </c>
      <c r="I73" t="s">
        <v>68</v>
      </c>
      <c r="J73" t="s">
        <v>139</v>
      </c>
      <c r="K73" t="s">
        <v>228</v>
      </c>
      <c r="L73" t="str">
        <f>_xlfn.TEXTJOIN("/",TRUE,Table2[[#This Row],[Departemen]:[Unit]])</f>
        <v>Production &amp; Engineering/Production/Instant Coffee Process/Evaporator</v>
      </c>
      <c r="M73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20-04-002-002</v>
      </c>
      <c r="N73" t="s">
        <v>155</v>
      </c>
      <c r="O73" t="str">
        <f>IFERROR(VLOOKUP(Table2[[#This Row],[Atasan]],Table2[[#All],[Hierarchy]:[Kode Posisi]],2,FALSE),"")</f>
        <v>20-04-002-025</v>
      </c>
      <c r="P73" t="s">
        <v>27</v>
      </c>
      <c r="S73" t="str">
        <f>IFERROR(VLOOKUP(Table2[[#This Row],[ID Karyawan]],[1]!Table4[[#All],[Nik]:[Placement]],37,FALSE),"")</f>
        <v/>
      </c>
      <c r="T73" t="s">
        <v>74</v>
      </c>
      <c r="U73" t="s">
        <v>270</v>
      </c>
      <c r="V73" t="s">
        <v>271</v>
      </c>
    </row>
    <row r="74" spans="1:22">
      <c r="A74" t="s">
        <v>272</v>
      </c>
      <c r="B74" t="s">
        <v>273</v>
      </c>
      <c r="C74" s="9">
        <v>33008</v>
      </c>
      <c r="D74">
        <f ca="1">IF(Table2[[#This Row],[Tgl Lahir]]="","Unknown",DATEDIF(Table2[[#This Row],[Tgl Lahir]],TODAY(),"Y"))</f>
        <v>36</v>
      </c>
      <c r="E74" s="9">
        <v>43318</v>
      </c>
      <c r="F74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8 tahun 2 bulan</v>
      </c>
      <c r="G74" t="s">
        <v>87</v>
      </c>
      <c r="H74" t="s">
        <v>61</v>
      </c>
      <c r="I74" t="s">
        <v>68</v>
      </c>
      <c r="J74" t="s">
        <v>139</v>
      </c>
      <c r="K74" t="s">
        <v>228</v>
      </c>
      <c r="L74" t="str">
        <f>_xlfn.TEXTJOIN("/",TRUE,Table2[[#This Row],[Departemen]:[Unit]])</f>
        <v>Production &amp; Engineering/Production/Instant Coffee Process/Evaporator</v>
      </c>
      <c r="M74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20-04-002-002</v>
      </c>
      <c r="N74" t="s">
        <v>155</v>
      </c>
      <c r="O74" t="str">
        <f>IFERROR(VLOOKUP(Table2[[#This Row],[Atasan]],Table2[[#All],[Hierarchy]:[Kode Posisi]],2,FALSE),"")</f>
        <v>20-04-002-025</v>
      </c>
      <c r="P74" t="s">
        <v>27</v>
      </c>
      <c r="S74" t="str">
        <f>IFERROR(VLOOKUP(Table2[[#This Row],[ID Karyawan]],[1]!Table4[[#All],[Nik]:[Placement]],37,FALSE),"")</f>
        <v/>
      </c>
      <c r="T74" t="s">
        <v>41</v>
      </c>
      <c r="U74" t="s">
        <v>274</v>
      </c>
      <c r="V74" t="s">
        <v>275</v>
      </c>
    </row>
    <row r="75" spans="1:22">
      <c r="A75" t="s">
        <v>276</v>
      </c>
      <c r="B75" t="s">
        <v>277</v>
      </c>
      <c r="C75" s="9">
        <v>34512</v>
      </c>
      <c r="D75">
        <f ca="1">IF(Table2[[#This Row],[Tgl Lahir]]="","Unknown",DATEDIF(Table2[[#This Row],[Tgl Lahir]],TODAY(),"Y"))</f>
        <v>32</v>
      </c>
      <c r="E75" s="9">
        <v>44795</v>
      </c>
      <c r="F75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tahun 1 bulan</v>
      </c>
      <c r="G75" t="s">
        <v>87</v>
      </c>
      <c r="H75" t="s">
        <v>61</v>
      </c>
      <c r="I75" t="s">
        <v>68</v>
      </c>
      <c r="J75" t="s">
        <v>139</v>
      </c>
      <c r="K75" t="s">
        <v>228</v>
      </c>
      <c r="L75" t="str">
        <f>_xlfn.TEXTJOIN("/",TRUE,Table2[[#This Row],[Departemen]:[Unit]])</f>
        <v>Production &amp; Engineering/Production/Instant Coffee Process/Evaporator</v>
      </c>
      <c r="M75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20-04-002-002</v>
      </c>
      <c r="N75" t="s">
        <v>155</v>
      </c>
      <c r="O75" t="str">
        <f>IFERROR(VLOOKUP(Table2[[#This Row],[Atasan]],Table2[[#All],[Hierarchy]:[Kode Posisi]],2,FALSE),"")</f>
        <v>20-04-002-025</v>
      </c>
      <c r="P75" t="s">
        <v>27</v>
      </c>
      <c r="S75" t="str">
        <f>IFERROR(VLOOKUP(Table2[[#This Row],[ID Karyawan]],[1]!Table4[[#All],[Nik]:[Placement]],37,FALSE),"")</f>
        <v/>
      </c>
      <c r="T75" t="s">
        <v>41</v>
      </c>
      <c r="U75" t="s">
        <v>278</v>
      </c>
      <c r="V75" t="s">
        <v>279</v>
      </c>
    </row>
    <row r="76" spans="1:22">
      <c r="A76" t="s">
        <v>280</v>
      </c>
      <c r="B76" t="s">
        <v>281</v>
      </c>
      <c r="C76" s="9">
        <v>34886</v>
      </c>
      <c r="D76">
        <f ca="1">IF(Table2[[#This Row],[Tgl Lahir]]="","Unknown",DATEDIF(Table2[[#This Row],[Tgl Lahir]],TODAY(),"Y"))</f>
        <v>31</v>
      </c>
      <c r="E76" s="9">
        <v>44795</v>
      </c>
      <c r="F76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tahun 1 bulan</v>
      </c>
      <c r="G76" t="s">
        <v>87</v>
      </c>
      <c r="H76" t="s">
        <v>61</v>
      </c>
      <c r="I76" t="s">
        <v>68</v>
      </c>
      <c r="J76" t="s">
        <v>139</v>
      </c>
      <c r="K76" t="s">
        <v>228</v>
      </c>
      <c r="L76" t="str">
        <f>_xlfn.TEXTJOIN("/",TRUE,Table2[[#This Row],[Departemen]:[Unit]])</f>
        <v>Production &amp; Engineering/Production/Instant Coffee Process/Evaporator</v>
      </c>
      <c r="M76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20-04-002-002</v>
      </c>
      <c r="N76" t="s">
        <v>155</v>
      </c>
      <c r="O76" t="str">
        <f>IFERROR(VLOOKUP(Table2[[#This Row],[Atasan]],Table2[[#All],[Hierarchy]:[Kode Posisi]],2,FALSE),"")</f>
        <v>20-04-002-025</v>
      </c>
      <c r="P76" t="s">
        <v>27</v>
      </c>
      <c r="S76" t="str">
        <f>IFERROR(VLOOKUP(Table2[[#This Row],[ID Karyawan]],[1]!Table4[[#All],[Nik]:[Placement]],37,FALSE),"")</f>
        <v/>
      </c>
      <c r="T76" t="s">
        <v>74</v>
      </c>
      <c r="U76">
        <v>0</v>
      </c>
      <c r="V76">
        <v>0</v>
      </c>
    </row>
    <row r="77" spans="1:22">
      <c r="A77" t="s">
        <v>282</v>
      </c>
      <c r="B77" t="s">
        <v>283</v>
      </c>
      <c r="C77" s="9">
        <v>34877</v>
      </c>
      <c r="D77">
        <f ca="1">IF(Table2[[#This Row],[Tgl Lahir]]="","Unknown",DATEDIF(Table2[[#This Row],[Tgl Lahir]],TODAY(),"Y"))</f>
        <v>31</v>
      </c>
      <c r="E77" s="9">
        <v>43698</v>
      </c>
      <c r="F77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7 tahun 1 bulan</v>
      </c>
      <c r="G77" t="s">
        <v>87</v>
      </c>
      <c r="H77" t="s">
        <v>61</v>
      </c>
      <c r="I77" t="s">
        <v>68</v>
      </c>
      <c r="J77" t="s">
        <v>139</v>
      </c>
      <c r="K77" t="s">
        <v>228</v>
      </c>
      <c r="L77" t="str">
        <f>_xlfn.TEXTJOIN("/",TRUE,Table2[[#This Row],[Departemen]:[Unit]])</f>
        <v>Production &amp; Engineering/Production/Instant Coffee Process/Evaporator</v>
      </c>
      <c r="M77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20-04-002-002</v>
      </c>
      <c r="N77" t="s">
        <v>155</v>
      </c>
      <c r="O77" t="str">
        <f>IFERROR(VLOOKUP(Table2[[#This Row],[Atasan]],Table2[[#All],[Hierarchy]:[Kode Posisi]],2,FALSE),"")</f>
        <v>20-04-002-025</v>
      </c>
      <c r="P77" t="s">
        <v>27</v>
      </c>
      <c r="S77" t="str">
        <f>IFERROR(VLOOKUP(Table2[[#This Row],[ID Karyawan]],[1]!Table4[[#All],[Nik]:[Placement]],37,FALSE),"")</f>
        <v/>
      </c>
      <c r="T77" t="s">
        <v>74</v>
      </c>
      <c r="U77">
        <v>0</v>
      </c>
      <c r="V77" t="s">
        <v>284</v>
      </c>
    </row>
    <row r="78" spans="1:22">
      <c r="A78" t="s">
        <v>285</v>
      </c>
      <c r="B78" t="s">
        <v>286</v>
      </c>
      <c r="C78" s="9">
        <v>35267</v>
      </c>
      <c r="D78">
        <f ca="1">IF(Table2[[#This Row],[Tgl Lahir]]="","Unknown",DATEDIF(Table2[[#This Row],[Tgl Lahir]],TODAY(),"Y"))</f>
        <v>30</v>
      </c>
      <c r="E78" s="9">
        <v>43698</v>
      </c>
      <c r="F78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7 tahun 1 bulan</v>
      </c>
      <c r="G78" t="s">
        <v>87</v>
      </c>
      <c r="H78" t="s">
        <v>61</v>
      </c>
      <c r="I78" t="s">
        <v>68</v>
      </c>
      <c r="J78" t="s">
        <v>139</v>
      </c>
      <c r="K78" t="s">
        <v>228</v>
      </c>
      <c r="L78" t="str">
        <f>_xlfn.TEXTJOIN("/",TRUE,Table2[[#This Row],[Departemen]:[Unit]])</f>
        <v>Production &amp; Engineering/Production/Instant Coffee Process/Evaporator</v>
      </c>
      <c r="M78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20-04-002-002</v>
      </c>
      <c r="N78" t="s">
        <v>155</v>
      </c>
      <c r="O78" t="str">
        <f>IFERROR(VLOOKUP(Table2[[#This Row],[Atasan]],Table2[[#All],[Hierarchy]:[Kode Posisi]],2,FALSE),"")</f>
        <v>20-04-002-025</v>
      </c>
      <c r="P78" t="s">
        <v>27</v>
      </c>
      <c r="S78" t="str">
        <f>IFERROR(VLOOKUP(Table2[[#This Row],[ID Karyawan]],[1]!Table4[[#All],[Nik]:[Placement]],37,FALSE),"")</f>
        <v/>
      </c>
      <c r="T78" t="s">
        <v>74</v>
      </c>
      <c r="U78" t="s">
        <v>287</v>
      </c>
      <c r="V78" t="s">
        <v>271</v>
      </c>
    </row>
    <row r="79" spans="1:22">
      <c r="A79" t="s">
        <v>288</v>
      </c>
      <c r="B79" t="s">
        <v>289</v>
      </c>
      <c r="C79" s="9">
        <v>36579</v>
      </c>
      <c r="D79">
        <f ca="1">IF(Table2[[#This Row],[Tgl Lahir]]="","Unknown",DATEDIF(Table2[[#This Row],[Tgl Lahir]],TODAY(),"Y"))</f>
        <v>26</v>
      </c>
      <c r="E79" s="9">
        <v>44795</v>
      </c>
      <c r="F79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tahun 1 bulan</v>
      </c>
      <c r="G79" t="s">
        <v>87</v>
      </c>
      <c r="H79" t="s">
        <v>61</v>
      </c>
      <c r="I79" t="s">
        <v>68</v>
      </c>
      <c r="J79" t="s">
        <v>139</v>
      </c>
      <c r="K79" t="s">
        <v>228</v>
      </c>
      <c r="L79" t="str">
        <f>_xlfn.TEXTJOIN("/",TRUE,Table2[[#This Row],[Departemen]:[Unit]])</f>
        <v>Production &amp; Engineering/Production/Instant Coffee Process/Evaporator</v>
      </c>
      <c r="M79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20-04-002-002</v>
      </c>
      <c r="N79" t="s">
        <v>155</v>
      </c>
      <c r="O79" t="str">
        <f>IFERROR(VLOOKUP(Table2[[#This Row],[Atasan]],Table2[[#All],[Hierarchy]:[Kode Posisi]],2,FALSE),"")</f>
        <v>20-04-002-025</v>
      </c>
      <c r="P79" t="s">
        <v>27</v>
      </c>
      <c r="S79" t="str">
        <f>IFERROR(VLOOKUP(Table2[[#This Row],[ID Karyawan]],[1]!Table4[[#All],[Nik]:[Placement]],37,FALSE),"")</f>
        <v/>
      </c>
      <c r="T79" t="s">
        <v>74</v>
      </c>
      <c r="U79" t="s">
        <v>290</v>
      </c>
      <c r="V79">
        <v>0</v>
      </c>
    </row>
    <row r="80" spans="1:22">
      <c r="A80" t="s">
        <v>291</v>
      </c>
      <c r="B80" t="s">
        <v>292</v>
      </c>
      <c r="C80" s="9">
        <v>26152</v>
      </c>
      <c r="D80">
        <f ca="1">IF(Table2[[#This Row],[Tgl Lahir]]="","Unknown",DATEDIF(Table2[[#This Row],[Tgl Lahir]],TODAY(),"Y"))</f>
        <v>55</v>
      </c>
      <c r="E80" s="9">
        <v>33850</v>
      </c>
      <c r="F80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34 tahun 1 bulan</v>
      </c>
      <c r="G80" t="s">
        <v>101</v>
      </c>
      <c r="H80" t="s">
        <v>61</v>
      </c>
      <c r="I80" t="s">
        <v>68</v>
      </c>
      <c r="J80" t="s">
        <v>139</v>
      </c>
      <c r="K80" t="s">
        <v>293</v>
      </c>
      <c r="L80" t="str">
        <f>_xlfn.TEXTJOIN("/",TRUE,Table2[[#This Row],[Departemen]:[Unit]])</f>
        <v>Production &amp; Engineering/Production/Instant Coffee Process/Spray Dried</v>
      </c>
      <c r="M80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20-04-002-003</v>
      </c>
      <c r="N80" t="s">
        <v>155</v>
      </c>
      <c r="O80" t="str">
        <f>IFERROR(VLOOKUP(Table2[[#This Row],[Atasan]],Table2[[#All],[Hierarchy]:[Kode Posisi]],2,FALSE),"")</f>
        <v>20-04-002-025</v>
      </c>
      <c r="P80" t="s">
        <v>27</v>
      </c>
      <c r="S80" t="str">
        <f>IFERROR(VLOOKUP(Table2[[#This Row],[ID Karyawan]],[1]!Table4[[#All],[Nik]:[Placement]],37,FALSE),"")</f>
        <v/>
      </c>
      <c r="T80" t="s">
        <v>74</v>
      </c>
      <c r="U80">
        <v>0</v>
      </c>
      <c r="V80">
        <v>0</v>
      </c>
    </row>
    <row r="81" spans="1:22">
      <c r="A81" t="s">
        <v>294</v>
      </c>
      <c r="B81" t="s">
        <v>295</v>
      </c>
      <c r="C81" s="9">
        <v>28615</v>
      </c>
      <c r="D81">
        <f ca="1">IF(Table2[[#This Row],[Tgl Lahir]]="","Unknown",DATEDIF(Table2[[#This Row],[Tgl Lahir]],TODAY(),"Y"))</f>
        <v>48</v>
      </c>
      <c r="E81" s="9">
        <v>35440</v>
      </c>
      <c r="F81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9 bulan</v>
      </c>
      <c r="G81" t="s">
        <v>101</v>
      </c>
      <c r="H81" t="s">
        <v>61</v>
      </c>
      <c r="I81" t="s">
        <v>68</v>
      </c>
      <c r="J81" t="s">
        <v>139</v>
      </c>
      <c r="K81" t="s">
        <v>293</v>
      </c>
      <c r="L81" t="str">
        <f>_xlfn.TEXTJOIN("/",TRUE,Table2[[#This Row],[Departemen]:[Unit]])</f>
        <v>Production &amp; Engineering/Production/Instant Coffee Process/Spray Dried</v>
      </c>
      <c r="M81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20-04-002-003</v>
      </c>
      <c r="N81" t="s">
        <v>155</v>
      </c>
      <c r="O81" t="str">
        <f>IFERROR(VLOOKUP(Table2[[#This Row],[Atasan]],Table2[[#All],[Hierarchy]:[Kode Posisi]],2,FALSE),"")</f>
        <v>20-04-002-025</v>
      </c>
      <c r="P81" t="s">
        <v>27</v>
      </c>
      <c r="S81" t="str">
        <f>IFERROR(VLOOKUP(Table2[[#This Row],[ID Karyawan]],[1]!Table4[[#All],[Nik]:[Placement]],37,FALSE),"")</f>
        <v/>
      </c>
      <c r="T81" t="s">
        <v>74</v>
      </c>
      <c r="U81" t="s">
        <v>79</v>
      </c>
      <c r="V81" t="s">
        <v>296</v>
      </c>
    </row>
    <row r="82" spans="1:22">
      <c r="A82" t="s">
        <v>297</v>
      </c>
      <c r="B82" t="s">
        <v>298</v>
      </c>
      <c r="C82" s="9">
        <v>30544</v>
      </c>
      <c r="D82">
        <f ca="1">IF(Table2[[#This Row],[Tgl Lahir]]="","Unknown",DATEDIF(Table2[[#This Row],[Tgl Lahir]],TODAY(),"Y"))</f>
        <v>43</v>
      </c>
      <c r="E82" s="9">
        <v>37809</v>
      </c>
      <c r="F82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23 tahun 3 bulan</v>
      </c>
      <c r="G82" t="s">
        <v>101</v>
      </c>
      <c r="H82" t="s">
        <v>61</v>
      </c>
      <c r="I82" t="s">
        <v>68</v>
      </c>
      <c r="J82" t="s">
        <v>139</v>
      </c>
      <c r="K82" t="s">
        <v>293</v>
      </c>
      <c r="L82" t="str">
        <f>_xlfn.TEXTJOIN("/",TRUE,Table2[[#This Row],[Departemen]:[Unit]])</f>
        <v>Production &amp; Engineering/Production/Instant Coffee Process/Spray Dried</v>
      </c>
      <c r="M82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20-04-002-003</v>
      </c>
      <c r="N82" t="s">
        <v>155</v>
      </c>
      <c r="O82" t="str">
        <f>IFERROR(VLOOKUP(Table2[[#This Row],[Atasan]],Table2[[#All],[Hierarchy]:[Kode Posisi]],2,FALSE),"")</f>
        <v>20-04-002-025</v>
      </c>
      <c r="P82" t="s">
        <v>27</v>
      </c>
      <c r="S82" t="str">
        <f>IFERROR(VLOOKUP(Table2[[#This Row],[ID Karyawan]],[1]!Table4[[#All],[Nik]:[Placement]],37,FALSE),"")</f>
        <v/>
      </c>
      <c r="T82" t="s">
        <v>74</v>
      </c>
      <c r="U82" t="s">
        <v>299</v>
      </c>
      <c r="V82" t="s">
        <v>300</v>
      </c>
    </row>
    <row r="83" spans="1:22">
      <c r="A83" t="s">
        <v>301</v>
      </c>
      <c r="B83" t="s">
        <v>302</v>
      </c>
      <c r="C83" s="9">
        <v>33057</v>
      </c>
      <c r="D83">
        <f ca="1">IF(Table2[[#This Row],[Tgl Lahir]]="","Unknown",DATEDIF(Table2[[#This Row],[Tgl Lahir]],TODAY(),"Y"))</f>
        <v>36</v>
      </c>
      <c r="E83" s="9">
        <v>44795</v>
      </c>
      <c r="F83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tahun 1 bulan</v>
      </c>
      <c r="G83" t="s">
        <v>101</v>
      </c>
      <c r="H83" t="s">
        <v>61</v>
      </c>
      <c r="I83" t="s">
        <v>68</v>
      </c>
      <c r="J83" t="s">
        <v>139</v>
      </c>
      <c r="K83" t="s">
        <v>293</v>
      </c>
      <c r="L83" t="str">
        <f>_xlfn.TEXTJOIN("/",TRUE,Table2[[#This Row],[Departemen]:[Unit]])</f>
        <v>Production &amp; Engineering/Production/Instant Coffee Process/Spray Dried</v>
      </c>
      <c r="M83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20-04-002-003</v>
      </c>
      <c r="N83" t="s">
        <v>155</v>
      </c>
      <c r="O83" t="str">
        <f>IFERROR(VLOOKUP(Table2[[#This Row],[Atasan]],Table2[[#All],[Hierarchy]:[Kode Posisi]],2,FALSE),"")</f>
        <v>20-04-002-025</v>
      </c>
      <c r="P83" t="s">
        <v>27</v>
      </c>
      <c r="S83" t="str">
        <f>IFERROR(VLOOKUP(Table2[[#This Row],[ID Karyawan]],[1]!Table4[[#All],[Nik]:[Placement]],37,FALSE),"")</f>
        <v/>
      </c>
      <c r="T83" t="s">
        <v>74</v>
      </c>
      <c r="U83" t="s">
        <v>303</v>
      </c>
      <c r="V83" t="s">
        <v>304</v>
      </c>
    </row>
    <row r="84" spans="1:22">
      <c r="A84" t="s">
        <v>305</v>
      </c>
      <c r="B84" t="s">
        <v>306</v>
      </c>
      <c r="C84" s="9">
        <v>34821</v>
      </c>
      <c r="D84">
        <f ca="1">IF(Table2[[#This Row],[Tgl Lahir]]="","Unknown",DATEDIF(Table2[[#This Row],[Tgl Lahir]],TODAY(),"Y"))</f>
        <v>31</v>
      </c>
      <c r="E84" s="9">
        <v>44795</v>
      </c>
      <c r="F84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tahun 1 bulan</v>
      </c>
      <c r="G84" t="s">
        <v>101</v>
      </c>
      <c r="H84" t="s">
        <v>61</v>
      </c>
      <c r="I84" t="s">
        <v>68</v>
      </c>
      <c r="J84" t="s">
        <v>139</v>
      </c>
      <c r="K84" t="s">
        <v>293</v>
      </c>
      <c r="L84" t="str">
        <f>_xlfn.TEXTJOIN("/",TRUE,Table2[[#This Row],[Departemen]:[Unit]])</f>
        <v>Production &amp; Engineering/Production/Instant Coffee Process/Spray Dried</v>
      </c>
      <c r="M84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20-04-002-003</v>
      </c>
      <c r="N84" t="s">
        <v>155</v>
      </c>
      <c r="O84" t="str">
        <f>IFERROR(VLOOKUP(Table2[[#This Row],[Atasan]],Table2[[#All],[Hierarchy]:[Kode Posisi]],2,FALSE),"")</f>
        <v>20-04-002-025</v>
      </c>
      <c r="P84" t="s">
        <v>27</v>
      </c>
      <c r="S84" t="str">
        <f>IFERROR(VLOOKUP(Table2[[#This Row],[ID Karyawan]],[1]!Table4[[#All],[Nik]:[Placement]],37,FALSE),"")</f>
        <v/>
      </c>
      <c r="T84" t="s">
        <v>41</v>
      </c>
      <c r="U84" t="s">
        <v>122</v>
      </c>
      <c r="V84" t="s">
        <v>307</v>
      </c>
    </row>
    <row r="85" spans="1:22">
      <c r="A85" t="s">
        <v>308</v>
      </c>
      <c r="B85" t="s">
        <v>309</v>
      </c>
      <c r="C85" s="9">
        <v>28586</v>
      </c>
      <c r="D85">
        <f ca="1">IF(Table2[[#This Row],[Tgl Lahir]]="","Unknown",DATEDIF(Table2[[#This Row],[Tgl Lahir]],TODAY(),"Y"))</f>
        <v>48</v>
      </c>
      <c r="E85" s="9">
        <v>35718</v>
      </c>
      <c r="F85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28 tahun 11 bulan</v>
      </c>
      <c r="G85" t="s">
        <v>101</v>
      </c>
      <c r="H85" t="s">
        <v>61</v>
      </c>
      <c r="I85" t="s">
        <v>68</v>
      </c>
      <c r="J85" t="s">
        <v>139</v>
      </c>
      <c r="K85" t="s">
        <v>293</v>
      </c>
      <c r="L85" t="str">
        <f>_xlfn.TEXTJOIN("/",TRUE,Table2[[#This Row],[Departemen]:[Unit]])</f>
        <v>Production &amp; Engineering/Production/Instant Coffee Process/Spray Dried</v>
      </c>
      <c r="M85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20-04-002-003</v>
      </c>
      <c r="N85" t="s">
        <v>155</v>
      </c>
      <c r="O85" t="str">
        <f>IFERROR(VLOOKUP(Table2[[#This Row],[Atasan]],Table2[[#All],[Hierarchy]:[Kode Posisi]],2,FALSE),"")</f>
        <v>20-04-002-025</v>
      </c>
      <c r="P85" t="s">
        <v>27</v>
      </c>
      <c r="S85" t="str">
        <f>IFERROR(VLOOKUP(Table2[[#This Row],[ID Karyawan]],[1]!Table4[[#All],[Nik]:[Placement]],37,FALSE),"")</f>
        <v/>
      </c>
      <c r="T85" t="s">
        <v>74</v>
      </c>
      <c r="U85" t="s">
        <v>310</v>
      </c>
      <c r="V85" t="s">
        <v>311</v>
      </c>
    </row>
    <row r="86" spans="1:22">
      <c r="A86" t="s">
        <v>312</v>
      </c>
      <c r="B86" t="s">
        <v>313</v>
      </c>
      <c r="C86" s="9">
        <v>36657</v>
      </c>
      <c r="D86">
        <f ca="1">IF(Table2[[#This Row],[Tgl Lahir]]="","Unknown",DATEDIF(Table2[[#This Row],[Tgl Lahir]],TODAY(),"Y"))</f>
        <v>26</v>
      </c>
      <c r="E86" s="9">
        <v>43698</v>
      </c>
      <c r="F86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7 tahun 1 bulan</v>
      </c>
      <c r="G86" t="s">
        <v>101</v>
      </c>
      <c r="H86" t="s">
        <v>61</v>
      </c>
      <c r="I86" t="s">
        <v>68</v>
      </c>
      <c r="J86" t="s">
        <v>139</v>
      </c>
      <c r="K86" t="s">
        <v>293</v>
      </c>
      <c r="L86" t="str">
        <f>_xlfn.TEXTJOIN("/",TRUE,Table2[[#This Row],[Departemen]:[Unit]])</f>
        <v>Production &amp; Engineering/Production/Instant Coffee Process/Spray Dried</v>
      </c>
      <c r="M86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20-04-002-003</v>
      </c>
      <c r="N86" t="s">
        <v>155</v>
      </c>
      <c r="O86" t="str">
        <f>IFERROR(VLOOKUP(Table2[[#This Row],[Atasan]],Table2[[#All],[Hierarchy]:[Kode Posisi]],2,FALSE),"")</f>
        <v>20-04-002-025</v>
      </c>
      <c r="P86" t="s">
        <v>27</v>
      </c>
      <c r="S86" t="str">
        <f>IFERROR(VLOOKUP(Table2[[#This Row],[ID Karyawan]],[1]!Table4[[#All],[Nik]:[Placement]],37,FALSE),"")</f>
        <v/>
      </c>
      <c r="T86" t="s">
        <v>74</v>
      </c>
      <c r="U86" t="s">
        <v>314</v>
      </c>
      <c r="V86" t="s">
        <v>315</v>
      </c>
    </row>
    <row r="87" spans="1:22">
      <c r="A87" t="s">
        <v>316</v>
      </c>
      <c r="B87" t="s">
        <v>317</v>
      </c>
      <c r="C87" s="9">
        <v>26386</v>
      </c>
      <c r="D87">
        <f ca="1">IF(Table2[[#This Row],[Tgl Lahir]]="","Unknown",DATEDIF(Table2[[#This Row],[Tgl Lahir]],TODAY(),"Y"))</f>
        <v>54</v>
      </c>
      <c r="E87" s="9">
        <v>35404</v>
      </c>
      <c r="F87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10 bulan</v>
      </c>
      <c r="G87" t="s">
        <v>87</v>
      </c>
      <c r="H87" t="s">
        <v>61</v>
      </c>
      <c r="I87" t="s">
        <v>68</v>
      </c>
      <c r="J87" t="s">
        <v>139</v>
      </c>
      <c r="K87" t="s">
        <v>293</v>
      </c>
      <c r="L87" t="str">
        <f>_xlfn.TEXTJOIN("/",TRUE,Table2[[#This Row],[Departemen]:[Unit]])</f>
        <v>Production &amp; Engineering/Production/Instant Coffee Process/Spray Dried</v>
      </c>
      <c r="M87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20-04-002-003</v>
      </c>
      <c r="N87" t="s">
        <v>155</v>
      </c>
      <c r="O87" t="str">
        <f>IFERROR(VLOOKUP(Table2[[#This Row],[Atasan]],Table2[[#All],[Hierarchy]:[Kode Posisi]],2,FALSE),"")</f>
        <v>20-04-002-025</v>
      </c>
      <c r="P87" t="s">
        <v>27</v>
      </c>
      <c r="S87" t="str">
        <f>IFERROR(VLOOKUP(Table2[[#This Row],[ID Karyawan]],[1]!Table4[[#All],[Nik]:[Placement]],37,FALSE),"")</f>
        <v/>
      </c>
      <c r="T87" t="s">
        <v>74</v>
      </c>
      <c r="U87" t="s">
        <v>79</v>
      </c>
      <c r="V87" t="s">
        <v>318</v>
      </c>
    </row>
    <row r="88" spans="1:22">
      <c r="A88" t="s">
        <v>319</v>
      </c>
      <c r="B88" t="s">
        <v>320</v>
      </c>
      <c r="C88" s="9">
        <v>26481</v>
      </c>
      <c r="D88">
        <f ca="1">IF(Table2[[#This Row],[Tgl Lahir]]="","Unknown",DATEDIF(Table2[[#This Row],[Tgl Lahir]],TODAY(),"Y"))</f>
        <v>54</v>
      </c>
      <c r="E88" s="9">
        <v>35718</v>
      </c>
      <c r="F88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28 tahun 11 bulan</v>
      </c>
      <c r="G88" t="s">
        <v>87</v>
      </c>
      <c r="H88" t="s">
        <v>61</v>
      </c>
      <c r="I88" t="s">
        <v>68</v>
      </c>
      <c r="J88" t="s">
        <v>139</v>
      </c>
      <c r="K88" t="s">
        <v>293</v>
      </c>
      <c r="L88" t="str">
        <f>_xlfn.TEXTJOIN("/",TRUE,Table2[[#This Row],[Departemen]:[Unit]])</f>
        <v>Production &amp; Engineering/Production/Instant Coffee Process/Spray Dried</v>
      </c>
      <c r="M88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20-04-002-003</v>
      </c>
      <c r="N88" t="s">
        <v>155</v>
      </c>
      <c r="O88" t="str">
        <f>IFERROR(VLOOKUP(Table2[[#This Row],[Atasan]],Table2[[#All],[Hierarchy]:[Kode Posisi]],2,FALSE),"")</f>
        <v>20-04-002-025</v>
      </c>
      <c r="P88" t="s">
        <v>27</v>
      </c>
      <c r="S88" t="str">
        <f>IFERROR(VLOOKUP(Table2[[#This Row],[ID Karyawan]],[1]!Table4[[#All],[Nik]:[Placement]],37,FALSE),"")</f>
        <v/>
      </c>
      <c r="T88" t="s">
        <v>74</v>
      </c>
      <c r="U88">
        <v>0</v>
      </c>
      <c r="V88" t="s">
        <v>79</v>
      </c>
    </row>
    <row r="89" spans="1:22">
      <c r="A89" t="s">
        <v>321</v>
      </c>
      <c r="B89" t="s">
        <v>322</v>
      </c>
      <c r="C89" s="9">
        <v>26736</v>
      </c>
      <c r="D89">
        <f ca="1">IF(Table2[[#This Row],[Tgl Lahir]]="","Unknown",DATEDIF(Table2[[#This Row],[Tgl Lahir]],TODAY(),"Y"))</f>
        <v>53</v>
      </c>
      <c r="E89" s="9">
        <v>35443</v>
      </c>
      <c r="F89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9 bulan</v>
      </c>
      <c r="G89" t="s">
        <v>87</v>
      </c>
      <c r="H89" t="s">
        <v>61</v>
      </c>
      <c r="I89" t="s">
        <v>68</v>
      </c>
      <c r="J89" t="s">
        <v>139</v>
      </c>
      <c r="K89" t="s">
        <v>293</v>
      </c>
      <c r="L89" t="str">
        <f>_xlfn.TEXTJOIN("/",TRUE,Table2[[#This Row],[Departemen]:[Unit]])</f>
        <v>Production &amp; Engineering/Production/Instant Coffee Process/Spray Dried</v>
      </c>
      <c r="M89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20-04-002-003</v>
      </c>
      <c r="N89" t="s">
        <v>155</v>
      </c>
      <c r="O89" t="str">
        <f>IFERROR(VLOOKUP(Table2[[#This Row],[Atasan]],Table2[[#All],[Hierarchy]:[Kode Posisi]],2,FALSE),"")</f>
        <v>20-04-002-025</v>
      </c>
      <c r="P89" t="s">
        <v>27</v>
      </c>
      <c r="S89" t="str">
        <f>IFERROR(VLOOKUP(Table2[[#This Row],[ID Karyawan]],[1]!Table4[[#All],[Nik]:[Placement]],37,FALSE),"")</f>
        <v/>
      </c>
      <c r="T89" t="s">
        <v>74</v>
      </c>
      <c r="U89" t="s">
        <v>79</v>
      </c>
      <c r="V89" t="s">
        <v>323</v>
      </c>
    </row>
    <row r="90" spans="1:22">
      <c r="A90" t="s">
        <v>324</v>
      </c>
      <c r="B90" t="s">
        <v>325</v>
      </c>
      <c r="C90" s="9">
        <v>27113</v>
      </c>
      <c r="D90">
        <f ca="1">IF(Table2[[#This Row],[Tgl Lahir]]="","Unknown",DATEDIF(Table2[[#This Row],[Tgl Lahir]],TODAY(),"Y"))</f>
        <v>52</v>
      </c>
      <c r="E90" s="9">
        <v>35488</v>
      </c>
      <c r="F90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7 bulan</v>
      </c>
      <c r="G90" t="s">
        <v>87</v>
      </c>
      <c r="H90" t="s">
        <v>61</v>
      </c>
      <c r="I90" t="s">
        <v>68</v>
      </c>
      <c r="J90" t="s">
        <v>139</v>
      </c>
      <c r="K90" t="s">
        <v>293</v>
      </c>
      <c r="L90" t="str">
        <f>_xlfn.TEXTJOIN("/",TRUE,Table2[[#This Row],[Departemen]:[Unit]])</f>
        <v>Production &amp; Engineering/Production/Instant Coffee Process/Spray Dried</v>
      </c>
      <c r="M90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20-04-002-003</v>
      </c>
      <c r="N90" t="s">
        <v>155</v>
      </c>
      <c r="O90" t="str">
        <f>IFERROR(VLOOKUP(Table2[[#This Row],[Atasan]],Table2[[#All],[Hierarchy]:[Kode Posisi]],2,FALSE),"")</f>
        <v>20-04-002-025</v>
      </c>
      <c r="P90" t="s">
        <v>27</v>
      </c>
      <c r="S90" t="str">
        <f>IFERROR(VLOOKUP(Table2[[#This Row],[ID Karyawan]],[1]!Table4[[#All],[Nik]:[Placement]],37,FALSE),"")</f>
        <v/>
      </c>
      <c r="T90" t="s">
        <v>74</v>
      </c>
      <c r="U90" t="s">
        <v>326</v>
      </c>
      <c r="V90" t="s">
        <v>327</v>
      </c>
    </row>
    <row r="91" spans="1:22">
      <c r="A91" t="s">
        <v>328</v>
      </c>
      <c r="B91" t="s">
        <v>329</v>
      </c>
      <c r="C91" s="9">
        <v>27275</v>
      </c>
      <c r="D91">
        <f ca="1">IF(Table2[[#This Row],[Tgl Lahir]]="","Unknown",DATEDIF(Table2[[#This Row],[Tgl Lahir]],TODAY(),"Y"))</f>
        <v>52</v>
      </c>
      <c r="E91" s="9">
        <v>35555</v>
      </c>
      <c r="F91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5 bulan</v>
      </c>
      <c r="G91" t="s">
        <v>87</v>
      </c>
      <c r="H91" t="s">
        <v>61</v>
      </c>
      <c r="I91" t="s">
        <v>68</v>
      </c>
      <c r="J91" t="s">
        <v>139</v>
      </c>
      <c r="K91" t="s">
        <v>293</v>
      </c>
      <c r="L91" t="str">
        <f>_xlfn.TEXTJOIN("/",TRUE,Table2[[#This Row],[Departemen]:[Unit]])</f>
        <v>Production &amp; Engineering/Production/Instant Coffee Process/Spray Dried</v>
      </c>
      <c r="M91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20-04-002-003</v>
      </c>
      <c r="N91" t="s">
        <v>155</v>
      </c>
      <c r="O91" t="str">
        <f>IFERROR(VLOOKUP(Table2[[#This Row],[Atasan]],Table2[[#All],[Hierarchy]:[Kode Posisi]],2,FALSE),"")</f>
        <v>20-04-002-025</v>
      </c>
      <c r="P91" t="s">
        <v>27</v>
      </c>
      <c r="S91" t="str">
        <f>IFERROR(VLOOKUP(Table2[[#This Row],[ID Karyawan]],[1]!Table4[[#All],[Nik]:[Placement]],37,FALSE),"")</f>
        <v/>
      </c>
      <c r="T91" t="s">
        <v>74</v>
      </c>
      <c r="U91">
        <v>0</v>
      </c>
      <c r="V91">
        <v>0</v>
      </c>
    </row>
    <row r="92" spans="1:22">
      <c r="A92" t="s">
        <v>330</v>
      </c>
      <c r="B92" t="s">
        <v>331</v>
      </c>
      <c r="C92" s="9">
        <v>27448</v>
      </c>
      <c r="D92">
        <f ca="1">IF(Table2[[#This Row],[Tgl Lahir]]="","Unknown",DATEDIF(Table2[[#This Row],[Tgl Lahir]],TODAY(),"Y"))</f>
        <v>51</v>
      </c>
      <c r="E92" s="9">
        <v>35450</v>
      </c>
      <c r="F92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8 bulan</v>
      </c>
      <c r="G92" t="s">
        <v>87</v>
      </c>
      <c r="H92" t="s">
        <v>61</v>
      </c>
      <c r="I92" t="s">
        <v>68</v>
      </c>
      <c r="J92" t="s">
        <v>139</v>
      </c>
      <c r="K92" t="s">
        <v>293</v>
      </c>
      <c r="L92" t="str">
        <f>_xlfn.TEXTJOIN("/",TRUE,Table2[[#This Row],[Departemen]:[Unit]])</f>
        <v>Production &amp; Engineering/Production/Instant Coffee Process/Spray Dried</v>
      </c>
      <c r="M92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20-04-002-003</v>
      </c>
      <c r="N92" t="s">
        <v>155</v>
      </c>
      <c r="O92" t="str">
        <f>IFERROR(VLOOKUP(Table2[[#This Row],[Atasan]],Table2[[#All],[Hierarchy]:[Kode Posisi]],2,FALSE),"")</f>
        <v>20-04-002-025</v>
      </c>
      <c r="P92" t="s">
        <v>27</v>
      </c>
      <c r="S92" t="str">
        <f>IFERROR(VLOOKUP(Table2[[#This Row],[ID Karyawan]],[1]!Table4[[#All],[Nik]:[Placement]],37,FALSE),"")</f>
        <v/>
      </c>
      <c r="T92" t="s">
        <v>74</v>
      </c>
      <c r="U92" t="s">
        <v>326</v>
      </c>
      <c r="V92" t="s">
        <v>332</v>
      </c>
    </row>
    <row r="93" spans="1:22">
      <c r="A93" t="s">
        <v>308</v>
      </c>
      <c r="B93" t="s">
        <v>333</v>
      </c>
      <c r="C93" s="9">
        <v>28586</v>
      </c>
      <c r="D93">
        <f ca="1">IF(Table2[[#This Row],[Tgl Lahir]]="","Unknown",DATEDIF(Table2[[#This Row],[Tgl Lahir]],TODAY(),"Y"))</f>
        <v>48</v>
      </c>
      <c r="E93" s="9">
        <v>35718</v>
      </c>
      <c r="F93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28 tahun 11 bulan</v>
      </c>
      <c r="G93" t="s">
        <v>87</v>
      </c>
      <c r="H93" t="s">
        <v>61</v>
      </c>
      <c r="I93" t="s">
        <v>68</v>
      </c>
      <c r="J93" t="s">
        <v>139</v>
      </c>
      <c r="K93" t="s">
        <v>293</v>
      </c>
      <c r="L93" t="str">
        <f>_xlfn.TEXTJOIN("/",TRUE,Table2[[#This Row],[Departemen]:[Unit]])</f>
        <v>Production &amp; Engineering/Production/Instant Coffee Process/Spray Dried</v>
      </c>
      <c r="M93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20-04-002-003</v>
      </c>
      <c r="N93" t="s">
        <v>155</v>
      </c>
      <c r="O93" t="str">
        <f>IFERROR(VLOOKUP(Table2[[#This Row],[Atasan]],Table2[[#All],[Hierarchy]:[Kode Posisi]],2,FALSE),"")</f>
        <v>20-04-002-025</v>
      </c>
      <c r="P93" t="s">
        <v>27</v>
      </c>
      <c r="S93" t="str">
        <f>IFERROR(VLOOKUP(Table2[[#This Row],[ID Karyawan]],[1]!Table4[[#All],[Nik]:[Placement]],37,FALSE),"")</f>
        <v/>
      </c>
      <c r="T93" t="s">
        <v>74</v>
      </c>
      <c r="U93" t="s">
        <v>310</v>
      </c>
      <c r="V93" t="s">
        <v>311</v>
      </c>
    </row>
    <row r="94" spans="1:22">
      <c r="A94" t="s">
        <v>334</v>
      </c>
      <c r="B94" t="s">
        <v>335</v>
      </c>
      <c r="C94" s="9">
        <v>34770</v>
      </c>
      <c r="D94">
        <f ca="1">IF(Table2[[#This Row],[Tgl Lahir]]="","Unknown",DATEDIF(Table2[[#This Row],[Tgl Lahir]],TODAY(),"Y"))</f>
        <v>31</v>
      </c>
      <c r="E94" s="9">
        <v>44795</v>
      </c>
      <c r="F94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tahun 1 bulan</v>
      </c>
      <c r="G94" t="s">
        <v>87</v>
      </c>
      <c r="H94" t="s">
        <v>61</v>
      </c>
      <c r="I94" t="s">
        <v>68</v>
      </c>
      <c r="J94" t="s">
        <v>139</v>
      </c>
      <c r="K94" t="s">
        <v>293</v>
      </c>
      <c r="L94" t="str">
        <f>_xlfn.TEXTJOIN("/",TRUE,Table2[[#This Row],[Departemen]:[Unit]])</f>
        <v>Production &amp; Engineering/Production/Instant Coffee Process/Spray Dried</v>
      </c>
      <c r="M94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20-04-002-003</v>
      </c>
      <c r="N94" t="s">
        <v>155</v>
      </c>
      <c r="O94" t="str">
        <f>IFERROR(VLOOKUP(Table2[[#This Row],[Atasan]],Table2[[#All],[Hierarchy]:[Kode Posisi]],2,FALSE),"")</f>
        <v>20-04-002-025</v>
      </c>
      <c r="P94" t="s">
        <v>27</v>
      </c>
      <c r="S94" t="str">
        <f>IFERROR(VLOOKUP(Table2[[#This Row],[ID Karyawan]],[1]!Table4[[#All],[Nik]:[Placement]],37,FALSE),"")</f>
        <v/>
      </c>
      <c r="T94" t="s">
        <v>41</v>
      </c>
      <c r="U94" t="s">
        <v>336</v>
      </c>
      <c r="V94" t="s">
        <v>337</v>
      </c>
    </row>
    <row r="95" spans="1:22">
      <c r="A95" t="s">
        <v>338</v>
      </c>
      <c r="B95" t="s">
        <v>339</v>
      </c>
      <c r="C95" s="9">
        <v>35233</v>
      </c>
      <c r="D95">
        <f ca="1">IF(Table2[[#This Row],[Tgl Lahir]]="","Unknown",DATEDIF(Table2[[#This Row],[Tgl Lahir]],TODAY(),"Y"))</f>
        <v>30</v>
      </c>
      <c r="E95" s="9">
        <v>44795</v>
      </c>
      <c r="F95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tahun 1 bulan</v>
      </c>
      <c r="G95" t="s">
        <v>87</v>
      </c>
      <c r="H95" t="s">
        <v>61</v>
      </c>
      <c r="I95" t="s">
        <v>68</v>
      </c>
      <c r="J95" t="s">
        <v>139</v>
      </c>
      <c r="K95" t="s">
        <v>293</v>
      </c>
      <c r="L95" t="str">
        <f>_xlfn.TEXTJOIN("/",TRUE,Table2[[#This Row],[Departemen]:[Unit]])</f>
        <v>Production &amp; Engineering/Production/Instant Coffee Process/Spray Dried</v>
      </c>
      <c r="M95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20-04-002-003</v>
      </c>
      <c r="N95" t="s">
        <v>155</v>
      </c>
      <c r="O95" t="str">
        <f>IFERROR(VLOOKUP(Table2[[#This Row],[Atasan]],Table2[[#All],[Hierarchy]:[Kode Posisi]],2,FALSE),"")</f>
        <v>20-04-002-025</v>
      </c>
      <c r="P95" t="s">
        <v>27</v>
      </c>
      <c r="S95" t="str">
        <f>IFERROR(VLOOKUP(Table2[[#This Row],[ID Karyawan]],[1]!Table4[[#All],[Nik]:[Placement]],37,FALSE),"")</f>
        <v/>
      </c>
      <c r="T95" t="s">
        <v>41</v>
      </c>
      <c r="U95" t="s">
        <v>340</v>
      </c>
      <c r="V95" t="s">
        <v>341</v>
      </c>
    </row>
    <row r="96" spans="1:22">
      <c r="A96" t="s">
        <v>342</v>
      </c>
      <c r="B96" t="s">
        <v>343</v>
      </c>
      <c r="C96" s="9">
        <v>35754</v>
      </c>
      <c r="D96">
        <f ca="1">IF(Table2[[#This Row],[Tgl Lahir]]="","Unknown",DATEDIF(Table2[[#This Row],[Tgl Lahir]],TODAY(),"Y"))</f>
        <v>28</v>
      </c>
      <c r="E96" s="9">
        <v>44795</v>
      </c>
      <c r="F96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tahun 1 bulan</v>
      </c>
      <c r="G96" t="s">
        <v>87</v>
      </c>
      <c r="H96" t="s">
        <v>61</v>
      </c>
      <c r="I96" t="s">
        <v>68</v>
      </c>
      <c r="J96" t="s">
        <v>139</v>
      </c>
      <c r="K96" t="s">
        <v>293</v>
      </c>
      <c r="L96" t="str">
        <f>_xlfn.TEXTJOIN("/",TRUE,Table2[[#This Row],[Departemen]:[Unit]])</f>
        <v>Production &amp; Engineering/Production/Instant Coffee Process/Spray Dried</v>
      </c>
      <c r="M96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20-04-002-003</v>
      </c>
      <c r="N96" t="s">
        <v>155</v>
      </c>
      <c r="O96" t="str">
        <f>IFERROR(VLOOKUP(Table2[[#This Row],[Atasan]],Table2[[#All],[Hierarchy]:[Kode Posisi]],2,FALSE),"")</f>
        <v>20-04-002-025</v>
      </c>
      <c r="P96" t="s">
        <v>27</v>
      </c>
      <c r="S96" t="str">
        <f>IFERROR(VLOOKUP(Table2[[#This Row],[ID Karyawan]],[1]!Table4[[#All],[Nik]:[Placement]],37,FALSE),"")</f>
        <v/>
      </c>
      <c r="T96" t="s">
        <v>74</v>
      </c>
      <c r="U96" t="s">
        <v>344</v>
      </c>
      <c r="V96" t="s">
        <v>345</v>
      </c>
    </row>
    <row r="97" spans="1:22">
      <c r="A97" t="s">
        <v>346</v>
      </c>
      <c r="B97" t="s">
        <v>347</v>
      </c>
      <c r="C97" s="9">
        <v>36761</v>
      </c>
      <c r="D97">
        <f ca="1">IF(Table2[[#This Row],[Tgl Lahir]]="","Unknown",DATEDIF(Table2[[#This Row],[Tgl Lahir]],TODAY(),"Y"))</f>
        <v>26</v>
      </c>
      <c r="E97" s="9">
        <v>44795</v>
      </c>
      <c r="F97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tahun 1 bulan</v>
      </c>
      <c r="G97" t="s">
        <v>87</v>
      </c>
      <c r="H97" t="s">
        <v>61</v>
      </c>
      <c r="I97" t="s">
        <v>68</v>
      </c>
      <c r="J97" t="s">
        <v>139</v>
      </c>
      <c r="K97" t="s">
        <v>293</v>
      </c>
      <c r="L97" t="str">
        <f>_xlfn.TEXTJOIN("/",TRUE,Table2[[#This Row],[Departemen]:[Unit]])</f>
        <v>Production &amp; Engineering/Production/Instant Coffee Process/Spray Dried</v>
      </c>
      <c r="M97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20-04-002-003</v>
      </c>
      <c r="N97" t="s">
        <v>155</v>
      </c>
      <c r="O97" t="str">
        <f>IFERROR(VLOOKUP(Table2[[#This Row],[Atasan]],Table2[[#All],[Hierarchy]:[Kode Posisi]],2,FALSE),"")</f>
        <v>20-04-002-025</v>
      </c>
      <c r="P97" t="s">
        <v>27</v>
      </c>
      <c r="S97" t="str">
        <f>IFERROR(VLOOKUP(Table2[[#This Row],[ID Karyawan]],[1]!Table4[[#All],[Nik]:[Placement]],37,FALSE),"")</f>
        <v/>
      </c>
      <c r="T97" t="s">
        <v>74</v>
      </c>
      <c r="U97" t="s">
        <v>348</v>
      </c>
      <c r="V97" t="s">
        <v>349</v>
      </c>
    </row>
    <row r="98" spans="1:22">
      <c r="A98" t="s">
        <v>312</v>
      </c>
      <c r="B98" t="s">
        <v>350</v>
      </c>
      <c r="C98" s="9">
        <v>36657</v>
      </c>
      <c r="D98">
        <f ca="1">IF(Table2[[#This Row],[Tgl Lahir]]="","Unknown",DATEDIF(Table2[[#This Row],[Tgl Lahir]],TODAY(),"Y"))</f>
        <v>26</v>
      </c>
      <c r="E98" s="9">
        <v>43698</v>
      </c>
      <c r="F98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7 tahun 1 bulan</v>
      </c>
      <c r="G98" t="s">
        <v>87</v>
      </c>
      <c r="H98" t="s">
        <v>61</v>
      </c>
      <c r="I98" t="s">
        <v>68</v>
      </c>
      <c r="J98" t="s">
        <v>139</v>
      </c>
      <c r="K98" t="s">
        <v>293</v>
      </c>
      <c r="L98" t="str">
        <f>_xlfn.TEXTJOIN("/",TRUE,Table2[[#This Row],[Departemen]:[Unit]])</f>
        <v>Production &amp; Engineering/Production/Instant Coffee Process/Spray Dried</v>
      </c>
      <c r="M98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20-04-002-003</v>
      </c>
      <c r="N98" t="s">
        <v>155</v>
      </c>
      <c r="O98" t="str">
        <f>IFERROR(VLOOKUP(Table2[[#This Row],[Atasan]],Table2[[#All],[Hierarchy]:[Kode Posisi]],2,FALSE),"")</f>
        <v>20-04-002-025</v>
      </c>
      <c r="P98" t="s">
        <v>27</v>
      </c>
      <c r="S98" t="str">
        <f>IFERROR(VLOOKUP(Table2[[#This Row],[ID Karyawan]],[1]!Table4[[#All],[Nik]:[Placement]],37,FALSE),"")</f>
        <v/>
      </c>
      <c r="T98" t="s">
        <v>74</v>
      </c>
      <c r="U98" t="s">
        <v>314</v>
      </c>
      <c r="V98" t="s">
        <v>315</v>
      </c>
    </row>
    <row r="99" spans="1:22">
      <c r="A99" t="s">
        <v>351</v>
      </c>
      <c r="B99" t="s">
        <v>352</v>
      </c>
      <c r="C99" s="9">
        <v>36809</v>
      </c>
      <c r="D99">
        <f ca="1">IF(Table2[[#This Row],[Tgl Lahir]]="","Unknown",DATEDIF(Table2[[#This Row],[Tgl Lahir]],TODAY(),"Y"))</f>
        <v>26</v>
      </c>
      <c r="E99" s="9">
        <v>44795</v>
      </c>
      <c r="F99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tahun 1 bulan</v>
      </c>
      <c r="G99" t="s">
        <v>87</v>
      </c>
      <c r="H99" t="s">
        <v>61</v>
      </c>
      <c r="I99" t="s">
        <v>68</v>
      </c>
      <c r="J99" t="s">
        <v>139</v>
      </c>
      <c r="K99" t="s">
        <v>293</v>
      </c>
      <c r="L99" t="str">
        <f>_xlfn.TEXTJOIN("/",TRUE,Table2[[#This Row],[Departemen]:[Unit]])</f>
        <v>Production &amp; Engineering/Production/Instant Coffee Process/Spray Dried</v>
      </c>
      <c r="M99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20-04-002-003</v>
      </c>
      <c r="N99" t="s">
        <v>155</v>
      </c>
      <c r="O99" t="str">
        <f>IFERROR(VLOOKUP(Table2[[#This Row],[Atasan]],Table2[[#All],[Hierarchy]:[Kode Posisi]],2,FALSE),"")</f>
        <v>20-04-002-025</v>
      </c>
      <c r="P99" t="s">
        <v>27</v>
      </c>
      <c r="S99" t="str">
        <f>IFERROR(VLOOKUP(Table2[[#This Row],[ID Karyawan]],[1]!Table4[[#All],[Nik]:[Placement]],37,FALSE),"")</f>
        <v/>
      </c>
      <c r="T99" t="s">
        <v>74</v>
      </c>
      <c r="U99" t="s">
        <v>353</v>
      </c>
      <c r="V99" t="s">
        <v>354</v>
      </c>
    </row>
    <row r="100" spans="1:22">
      <c r="A100" t="s">
        <v>355</v>
      </c>
      <c r="B100" t="s">
        <v>356</v>
      </c>
      <c r="C100" s="9">
        <v>37036</v>
      </c>
      <c r="D100">
        <f ca="1">IF(Table2[[#This Row],[Tgl Lahir]]="","Unknown",DATEDIF(Table2[[#This Row],[Tgl Lahir]],TODAY(),"Y"))</f>
        <v>25</v>
      </c>
      <c r="E100" s="9">
        <v>44795</v>
      </c>
      <c r="F100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tahun 1 bulan</v>
      </c>
      <c r="G100" t="s">
        <v>87</v>
      </c>
      <c r="H100" t="s">
        <v>61</v>
      </c>
      <c r="I100" t="s">
        <v>68</v>
      </c>
      <c r="J100" t="s">
        <v>139</v>
      </c>
      <c r="K100" t="s">
        <v>293</v>
      </c>
      <c r="L100" t="str">
        <f>_xlfn.TEXTJOIN("/",TRUE,Table2[[#This Row],[Departemen]:[Unit]])</f>
        <v>Production &amp; Engineering/Production/Instant Coffee Process/Spray Dried</v>
      </c>
      <c r="M100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20-04-002-003</v>
      </c>
      <c r="N100" t="s">
        <v>155</v>
      </c>
      <c r="O100" t="str">
        <f>IFERROR(VLOOKUP(Table2[[#This Row],[Atasan]],Table2[[#All],[Hierarchy]:[Kode Posisi]],2,FALSE),"")</f>
        <v>20-04-002-025</v>
      </c>
      <c r="P100" t="s">
        <v>27</v>
      </c>
      <c r="S100" t="str">
        <f>IFERROR(VLOOKUP(Table2[[#This Row],[ID Karyawan]],[1]!Table4[[#All],[Nik]:[Placement]],37,FALSE),"")</f>
        <v/>
      </c>
      <c r="T100" t="s">
        <v>74</v>
      </c>
      <c r="U100" t="s">
        <v>357</v>
      </c>
      <c r="V100" t="s">
        <v>358</v>
      </c>
    </row>
    <row r="101" spans="1:22">
      <c r="A101" t="s">
        <v>359</v>
      </c>
      <c r="B101" t="s">
        <v>360</v>
      </c>
      <c r="C101" s="9">
        <v>37071</v>
      </c>
      <c r="D101">
        <f ca="1">IF(Table2[[#This Row],[Tgl Lahir]]="","Unknown",DATEDIF(Table2[[#This Row],[Tgl Lahir]],TODAY(),"Y"))</f>
        <v>25</v>
      </c>
      <c r="E101" s="9">
        <v>44795</v>
      </c>
      <c r="F101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tahun 1 bulan</v>
      </c>
      <c r="G101" t="s">
        <v>87</v>
      </c>
      <c r="H101" t="s">
        <v>61</v>
      </c>
      <c r="I101" t="s">
        <v>68</v>
      </c>
      <c r="J101" t="s">
        <v>139</v>
      </c>
      <c r="K101" t="s">
        <v>293</v>
      </c>
      <c r="L101" t="str">
        <f>_xlfn.TEXTJOIN("/",TRUE,Table2[[#This Row],[Departemen]:[Unit]])</f>
        <v>Production &amp; Engineering/Production/Instant Coffee Process/Spray Dried</v>
      </c>
      <c r="M101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20-04-002-003</v>
      </c>
      <c r="N101" t="s">
        <v>155</v>
      </c>
      <c r="O101" t="str">
        <f>IFERROR(VLOOKUP(Table2[[#This Row],[Atasan]],Table2[[#All],[Hierarchy]:[Kode Posisi]],2,FALSE),"")</f>
        <v>20-04-002-025</v>
      </c>
      <c r="P101" t="s">
        <v>27</v>
      </c>
      <c r="S101" t="str">
        <f>IFERROR(VLOOKUP(Table2[[#This Row],[ID Karyawan]],[1]!Table4[[#All],[Nik]:[Placement]],37,FALSE),"")</f>
        <v/>
      </c>
      <c r="T101" t="s">
        <v>74</v>
      </c>
      <c r="U101" t="s">
        <v>361</v>
      </c>
      <c r="V101" t="s">
        <v>362</v>
      </c>
    </row>
    <row r="102" spans="1:22">
      <c r="A102" t="s">
        <v>363</v>
      </c>
      <c r="B102" t="s">
        <v>364</v>
      </c>
      <c r="C102" s="9">
        <v>28058</v>
      </c>
      <c r="D102">
        <f ca="1">IF(Table2[[#This Row],[Tgl Lahir]]="","Unknown",DATEDIF(Table2[[#This Row],[Tgl Lahir]],TODAY(),"Y"))</f>
        <v>49</v>
      </c>
      <c r="E102" s="9">
        <v>35404</v>
      </c>
      <c r="F102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10 bulan</v>
      </c>
      <c r="G102" t="s">
        <v>87</v>
      </c>
      <c r="H102" t="s">
        <v>61</v>
      </c>
      <c r="I102" t="s">
        <v>68</v>
      </c>
      <c r="J102" t="s">
        <v>139</v>
      </c>
      <c r="K102" t="s">
        <v>365</v>
      </c>
      <c r="L102" t="str">
        <f>_xlfn.TEXTJOIN("/",TRUE,Table2[[#This Row],[Departemen]:[Unit]])</f>
        <v>Production &amp; Engineering/Production/Instant Coffee Process/Separator</v>
      </c>
      <c r="M102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20-04-002-004</v>
      </c>
      <c r="N102" t="s">
        <v>155</v>
      </c>
      <c r="O102" t="str">
        <f>IFERROR(VLOOKUP(Table2[[#This Row],[Atasan]],Table2[[#All],[Hierarchy]:[Kode Posisi]],2,FALSE),"")</f>
        <v>20-04-002-025</v>
      </c>
      <c r="P102" t="s">
        <v>27</v>
      </c>
      <c r="S102" t="str">
        <f>IFERROR(VLOOKUP(Table2[[#This Row],[ID Karyawan]],[1]!Table4[[#All],[Nik]:[Placement]],37,FALSE),"")</f>
        <v/>
      </c>
      <c r="T102" t="s">
        <v>74</v>
      </c>
      <c r="U102" t="s">
        <v>79</v>
      </c>
      <c r="V102">
        <v>0</v>
      </c>
    </row>
    <row r="103" spans="1:22">
      <c r="A103" t="s">
        <v>366</v>
      </c>
      <c r="B103" t="s">
        <v>367</v>
      </c>
      <c r="C103" s="9">
        <v>35748</v>
      </c>
      <c r="D103">
        <f ca="1">IF(Table2[[#This Row],[Tgl Lahir]]="","Unknown",DATEDIF(Table2[[#This Row],[Tgl Lahir]],TODAY(),"Y"))</f>
        <v>28</v>
      </c>
      <c r="E103" s="9">
        <v>44795</v>
      </c>
      <c r="F103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tahun 1 bulan</v>
      </c>
      <c r="G103" t="s">
        <v>87</v>
      </c>
      <c r="H103" t="s">
        <v>61</v>
      </c>
      <c r="I103" t="s">
        <v>68</v>
      </c>
      <c r="J103" t="s">
        <v>139</v>
      </c>
      <c r="K103" t="s">
        <v>365</v>
      </c>
      <c r="L103" t="str">
        <f>_xlfn.TEXTJOIN("/",TRUE,Table2[[#This Row],[Departemen]:[Unit]])</f>
        <v>Production &amp; Engineering/Production/Instant Coffee Process/Separator</v>
      </c>
      <c r="M103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20-04-002-004</v>
      </c>
      <c r="N103" t="s">
        <v>155</v>
      </c>
      <c r="O103" t="str">
        <f>IFERROR(VLOOKUP(Table2[[#This Row],[Atasan]],Table2[[#All],[Hierarchy]:[Kode Posisi]],2,FALSE),"")</f>
        <v>20-04-002-025</v>
      </c>
      <c r="P103" t="s">
        <v>27</v>
      </c>
      <c r="S103" t="str">
        <f>IFERROR(VLOOKUP(Table2[[#This Row],[ID Karyawan]],[1]!Table4[[#All],[Nik]:[Placement]],37,FALSE),"")</f>
        <v/>
      </c>
      <c r="T103" t="s">
        <v>121</v>
      </c>
      <c r="U103" t="s">
        <v>122</v>
      </c>
      <c r="V103" t="s">
        <v>368</v>
      </c>
    </row>
    <row r="104" spans="1:22">
      <c r="A104" t="s">
        <v>369</v>
      </c>
      <c r="B104" t="s">
        <v>370</v>
      </c>
      <c r="C104" s="9">
        <v>35932</v>
      </c>
      <c r="D104">
        <f ca="1">IF(Table2[[#This Row],[Tgl Lahir]]="","Unknown",DATEDIF(Table2[[#This Row],[Tgl Lahir]],TODAY(),"Y"))</f>
        <v>28</v>
      </c>
      <c r="E104" s="9">
        <v>43698</v>
      </c>
      <c r="F104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7 tahun 1 bulan</v>
      </c>
      <c r="G104" t="s">
        <v>87</v>
      </c>
      <c r="H104" t="s">
        <v>61</v>
      </c>
      <c r="I104" t="s">
        <v>68</v>
      </c>
      <c r="J104" t="s">
        <v>139</v>
      </c>
      <c r="K104" t="s">
        <v>365</v>
      </c>
      <c r="L104" t="str">
        <f>_xlfn.TEXTJOIN("/",TRUE,Table2[[#This Row],[Departemen]:[Unit]])</f>
        <v>Production &amp; Engineering/Production/Instant Coffee Process/Separator</v>
      </c>
      <c r="M104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20-04-002-004</v>
      </c>
      <c r="N104" t="s">
        <v>155</v>
      </c>
      <c r="O104" t="str">
        <f>IFERROR(VLOOKUP(Table2[[#This Row],[Atasan]],Table2[[#All],[Hierarchy]:[Kode Posisi]],2,FALSE),"")</f>
        <v>20-04-002-025</v>
      </c>
      <c r="P104" t="s">
        <v>27</v>
      </c>
      <c r="S104" t="str">
        <f>IFERROR(VLOOKUP(Table2[[#This Row],[ID Karyawan]],[1]!Table4[[#All],[Nik]:[Placement]],37,FALSE),"")</f>
        <v/>
      </c>
      <c r="T104" t="s">
        <v>74</v>
      </c>
      <c r="U104" t="s">
        <v>371</v>
      </c>
      <c r="V104" t="s">
        <v>372</v>
      </c>
    </row>
    <row r="105" spans="1:22">
      <c r="A105" t="s">
        <v>373</v>
      </c>
      <c r="B105" t="s">
        <v>374</v>
      </c>
      <c r="C105" s="9">
        <v>36105</v>
      </c>
      <c r="D105">
        <f ca="1">IF(Table2[[#This Row],[Tgl Lahir]]="","Unknown",DATEDIF(Table2[[#This Row],[Tgl Lahir]],TODAY(),"Y"))</f>
        <v>27</v>
      </c>
      <c r="E105" s="9">
        <v>44795</v>
      </c>
      <c r="F105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tahun 1 bulan</v>
      </c>
      <c r="G105" t="s">
        <v>87</v>
      </c>
      <c r="H105" t="s">
        <v>61</v>
      </c>
      <c r="I105" t="s">
        <v>68</v>
      </c>
      <c r="J105" t="s">
        <v>139</v>
      </c>
      <c r="K105" t="s">
        <v>365</v>
      </c>
      <c r="L105" t="str">
        <f>_xlfn.TEXTJOIN("/",TRUE,Table2[[#This Row],[Departemen]:[Unit]])</f>
        <v>Production &amp; Engineering/Production/Instant Coffee Process/Separator</v>
      </c>
      <c r="M105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20-04-002-004</v>
      </c>
      <c r="N105" t="s">
        <v>155</v>
      </c>
      <c r="O105" t="str">
        <f>IFERROR(VLOOKUP(Table2[[#This Row],[Atasan]],Table2[[#All],[Hierarchy]:[Kode Posisi]],2,FALSE),"")</f>
        <v>20-04-002-025</v>
      </c>
      <c r="P105" t="s">
        <v>27</v>
      </c>
      <c r="S105" t="str">
        <f>IFERROR(VLOOKUP(Table2[[#This Row],[ID Karyawan]],[1]!Table4[[#All],[Nik]:[Placement]],37,FALSE),"")</f>
        <v/>
      </c>
      <c r="T105" t="s">
        <v>74</v>
      </c>
      <c r="U105" t="s">
        <v>299</v>
      </c>
      <c r="V105">
        <v>0</v>
      </c>
    </row>
    <row r="106" spans="1:22">
      <c r="A106" t="s">
        <v>375</v>
      </c>
      <c r="B106" t="s">
        <v>376</v>
      </c>
      <c r="C106" s="9">
        <v>36332</v>
      </c>
      <c r="D106">
        <f ca="1">IF(Table2[[#This Row],[Tgl Lahir]]="","Unknown",DATEDIF(Table2[[#This Row],[Tgl Lahir]],TODAY(),"Y"))</f>
        <v>27</v>
      </c>
      <c r="E106" s="9">
        <v>43202</v>
      </c>
      <c r="F106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8 tahun 6 bulan</v>
      </c>
      <c r="G106" t="s">
        <v>87</v>
      </c>
      <c r="H106" t="s">
        <v>61</v>
      </c>
      <c r="I106" t="s">
        <v>68</v>
      </c>
      <c r="J106" t="s">
        <v>139</v>
      </c>
      <c r="K106" t="s">
        <v>365</v>
      </c>
      <c r="L106" t="str">
        <f>_xlfn.TEXTJOIN("/",TRUE,Table2[[#This Row],[Departemen]:[Unit]])</f>
        <v>Production &amp; Engineering/Production/Instant Coffee Process/Separator</v>
      </c>
      <c r="M106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20-04-002-004</v>
      </c>
      <c r="N106" t="s">
        <v>155</v>
      </c>
      <c r="O106" t="str">
        <f>IFERROR(VLOOKUP(Table2[[#This Row],[Atasan]],Table2[[#All],[Hierarchy]:[Kode Posisi]],2,FALSE),"")</f>
        <v>20-04-002-025</v>
      </c>
      <c r="P106" t="s">
        <v>27</v>
      </c>
      <c r="S106" t="str">
        <f>IFERROR(VLOOKUP(Table2[[#This Row],[ID Karyawan]],[1]!Table4[[#All],[Nik]:[Placement]],37,FALSE),"")</f>
        <v/>
      </c>
      <c r="T106" t="s">
        <v>74</v>
      </c>
      <c r="U106" t="s">
        <v>348</v>
      </c>
      <c r="V106" t="s">
        <v>377</v>
      </c>
    </row>
    <row r="107" spans="1:22">
      <c r="A107" t="s">
        <v>378</v>
      </c>
      <c r="B107" t="s">
        <v>379</v>
      </c>
      <c r="C107" s="9">
        <v>36426</v>
      </c>
      <c r="D107">
        <f ca="1">IF(Table2[[#This Row],[Tgl Lahir]]="","Unknown",DATEDIF(Table2[[#This Row],[Tgl Lahir]],TODAY(),"Y"))</f>
        <v>27</v>
      </c>
      <c r="E107" s="9">
        <v>43698</v>
      </c>
      <c r="F107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7 tahun 1 bulan</v>
      </c>
      <c r="G107" t="s">
        <v>87</v>
      </c>
      <c r="H107" t="s">
        <v>61</v>
      </c>
      <c r="I107" t="s">
        <v>68</v>
      </c>
      <c r="J107" t="s">
        <v>139</v>
      </c>
      <c r="K107" t="s">
        <v>365</v>
      </c>
      <c r="L107" t="str">
        <f>_xlfn.TEXTJOIN("/",TRUE,Table2[[#This Row],[Departemen]:[Unit]])</f>
        <v>Production &amp; Engineering/Production/Instant Coffee Process/Separator</v>
      </c>
      <c r="M107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20-04-002-004</v>
      </c>
      <c r="N107" t="s">
        <v>155</v>
      </c>
      <c r="O107" t="str">
        <f>IFERROR(VLOOKUP(Table2[[#This Row],[Atasan]],Table2[[#All],[Hierarchy]:[Kode Posisi]],2,FALSE),"")</f>
        <v>20-04-002-025</v>
      </c>
      <c r="P107" t="s">
        <v>27</v>
      </c>
      <c r="S107" t="str">
        <f>IFERROR(VLOOKUP(Table2[[#This Row],[ID Karyawan]],[1]!Table4[[#All],[Nik]:[Placement]],37,FALSE),"")</f>
        <v/>
      </c>
      <c r="T107" t="s">
        <v>74</v>
      </c>
      <c r="U107" t="s">
        <v>218</v>
      </c>
      <c r="V107" t="s">
        <v>380</v>
      </c>
    </row>
    <row r="108" spans="1:22">
      <c r="A108" t="s">
        <v>381</v>
      </c>
      <c r="B108" t="s">
        <v>382</v>
      </c>
      <c r="C108" s="9">
        <v>36586</v>
      </c>
      <c r="D108">
        <f ca="1">IF(Table2[[#This Row],[Tgl Lahir]]="","Unknown",DATEDIF(Table2[[#This Row],[Tgl Lahir]],TODAY(),"Y"))</f>
        <v>26</v>
      </c>
      <c r="E108" s="9">
        <v>43739</v>
      </c>
      <c r="F108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7 tahun 0 bulan</v>
      </c>
      <c r="G108" t="s">
        <v>87</v>
      </c>
      <c r="H108" t="s">
        <v>61</v>
      </c>
      <c r="I108" t="s">
        <v>68</v>
      </c>
      <c r="J108" t="s">
        <v>139</v>
      </c>
      <c r="K108" t="s">
        <v>365</v>
      </c>
      <c r="L108" t="str">
        <f>_xlfn.TEXTJOIN("/",TRUE,Table2[[#This Row],[Departemen]:[Unit]])</f>
        <v>Production &amp; Engineering/Production/Instant Coffee Process/Separator</v>
      </c>
      <c r="M108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20-04-002-004</v>
      </c>
      <c r="N108" t="s">
        <v>155</v>
      </c>
      <c r="O108" t="str">
        <f>IFERROR(VLOOKUP(Table2[[#This Row],[Atasan]],Table2[[#All],[Hierarchy]:[Kode Posisi]],2,FALSE),"")</f>
        <v>20-04-002-025</v>
      </c>
      <c r="P108" t="s">
        <v>27</v>
      </c>
      <c r="S108" t="str">
        <f>IFERROR(VLOOKUP(Table2[[#This Row],[ID Karyawan]],[1]!Table4[[#All],[Nik]:[Placement]],37,FALSE),"")</f>
        <v/>
      </c>
      <c r="T108" t="s">
        <v>74</v>
      </c>
      <c r="U108" t="s">
        <v>383</v>
      </c>
      <c r="V108" t="s">
        <v>384</v>
      </c>
    </row>
    <row r="109" spans="1:22">
      <c r="A109" t="s">
        <v>385</v>
      </c>
      <c r="B109" t="s">
        <v>386</v>
      </c>
      <c r="C109" s="9">
        <v>36863</v>
      </c>
      <c r="D109">
        <f ca="1">IF(Table2[[#This Row],[Tgl Lahir]]="","Unknown",DATEDIF(Table2[[#This Row],[Tgl Lahir]],TODAY(),"Y"))</f>
        <v>25</v>
      </c>
      <c r="E109" s="9">
        <v>43698</v>
      </c>
      <c r="F109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7 tahun 1 bulan</v>
      </c>
      <c r="G109" t="s">
        <v>87</v>
      </c>
      <c r="H109" t="s">
        <v>61</v>
      </c>
      <c r="I109" t="s">
        <v>68</v>
      </c>
      <c r="J109" t="s">
        <v>139</v>
      </c>
      <c r="K109" t="s">
        <v>365</v>
      </c>
      <c r="L109" t="str">
        <f>_xlfn.TEXTJOIN("/",TRUE,Table2[[#This Row],[Departemen]:[Unit]])</f>
        <v>Production &amp; Engineering/Production/Instant Coffee Process/Separator</v>
      </c>
      <c r="M109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20-04-002-004</v>
      </c>
      <c r="N109" t="s">
        <v>155</v>
      </c>
      <c r="O109" t="str">
        <f>IFERROR(VLOOKUP(Table2[[#This Row],[Atasan]],Table2[[#All],[Hierarchy]:[Kode Posisi]],2,FALSE),"")</f>
        <v>20-04-002-025</v>
      </c>
      <c r="P109" t="s">
        <v>27</v>
      </c>
      <c r="S109" t="str">
        <f>IFERROR(VLOOKUP(Table2[[#This Row],[ID Karyawan]],[1]!Table4[[#All],[Nik]:[Placement]],37,FALSE),"")</f>
        <v/>
      </c>
      <c r="T109" t="s">
        <v>74</v>
      </c>
      <c r="U109" t="s">
        <v>387</v>
      </c>
      <c r="V109" t="s">
        <v>380</v>
      </c>
    </row>
    <row r="110" spans="1:22">
      <c r="A110" t="s">
        <v>388</v>
      </c>
      <c r="B110" t="s">
        <v>389</v>
      </c>
      <c r="C110" s="9">
        <v>25676</v>
      </c>
      <c r="D110">
        <f ca="1">IF(Table2[[#This Row],[Tgl Lahir]]="","Unknown",DATEDIF(Table2[[#This Row],[Tgl Lahir]],TODAY(),"Y"))</f>
        <v>56</v>
      </c>
      <c r="E110" s="9">
        <v>33661</v>
      </c>
      <c r="F110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34 tahun 7 bulan</v>
      </c>
      <c r="G110" t="s">
        <v>77</v>
      </c>
      <c r="H110" t="s">
        <v>61</v>
      </c>
      <c r="I110" t="s">
        <v>68</v>
      </c>
      <c r="J110" t="s">
        <v>139</v>
      </c>
      <c r="K110" t="s">
        <v>139</v>
      </c>
      <c r="L110" t="str">
        <f>_xlfn.TEXTJOIN("/",TRUE,Table2[[#This Row],[Departemen]:[Unit]])</f>
        <v>Production &amp; Engineering/Production/Instant Coffee Process/Instant Coffee Process</v>
      </c>
      <c r="M110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20-04-002-025</v>
      </c>
      <c r="N110" t="s">
        <v>390</v>
      </c>
      <c r="O110" t="str">
        <f>IFERROR(VLOOKUP(Table2[[#This Row],[Atasan]],Table2[[#All],[Hierarchy]:[Kode Posisi]],2,FALSE),"")</f>
        <v>20-04-002-000</v>
      </c>
      <c r="P110" t="s">
        <v>27</v>
      </c>
      <c r="S110" t="str">
        <f>IFERROR(VLOOKUP(Table2[[#This Row],[ID Karyawan]],[1]!Table4[[#All],[Nik]:[Placement]],37,FALSE),"")</f>
        <v/>
      </c>
      <c r="T110" t="s">
        <v>74</v>
      </c>
      <c r="U110" t="s">
        <v>104</v>
      </c>
      <c r="V110" t="s">
        <v>391</v>
      </c>
    </row>
    <row r="111" spans="1:22">
      <c r="A111" t="s">
        <v>392</v>
      </c>
      <c r="B111" t="s">
        <v>393</v>
      </c>
      <c r="C111" s="9">
        <v>26030</v>
      </c>
      <c r="D111">
        <f ca="1">IF(Table2[[#This Row],[Tgl Lahir]]="","Unknown",DATEDIF(Table2[[#This Row],[Tgl Lahir]],TODAY(),"Y"))</f>
        <v>55</v>
      </c>
      <c r="E111" s="9">
        <v>33505</v>
      </c>
      <c r="F111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35 tahun 0 bulan</v>
      </c>
      <c r="G111" t="s">
        <v>77</v>
      </c>
      <c r="H111" t="s">
        <v>61</v>
      </c>
      <c r="I111" t="s">
        <v>68</v>
      </c>
      <c r="J111" t="s">
        <v>139</v>
      </c>
      <c r="K111" t="s">
        <v>139</v>
      </c>
      <c r="L111" t="str">
        <f>_xlfn.TEXTJOIN("/",TRUE,Table2[[#This Row],[Departemen]:[Unit]])</f>
        <v>Production &amp; Engineering/Production/Instant Coffee Process/Instant Coffee Process</v>
      </c>
      <c r="M111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20-04-002-025</v>
      </c>
      <c r="N111" t="s">
        <v>390</v>
      </c>
      <c r="O111" t="str">
        <f>IFERROR(VLOOKUP(Table2[[#This Row],[Atasan]],Table2[[#All],[Hierarchy]:[Kode Posisi]],2,FALSE),"")</f>
        <v>20-04-002-000</v>
      </c>
      <c r="P111" t="s">
        <v>27</v>
      </c>
      <c r="S111" t="str">
        <f>IFERROR(VLOOKUP(Table2[[#This Row],[ID Karyawan]],[1]!Table4[[#All],[Nik]:[Placement]],37,FALSE),"")</f>
        <v/>
      </c>
      <c r="T111" t="s">
        <v>74</v>
      </c>
      <c r="U111" t="s">
        <v>394</v>
      </c>
      <c r="V111">
        <v>0</v>
      </c>
    </row>
    <row r="112" spans="1:22">
      <c r="A112" t="s">
        <v>395</v>
      </c>
      <c r="B112" t="s">
        <v>396</v>
      </c>
      <c r="C112" s="9">
        <v>28310</v>
      </c>
      <c r="D112">
        <f ca="1">IF(Table2[[#This Row],[Tgl Lahir]]="","Unknown",DATEDIF(Table2[[#This Row],[Tgl Lahir]],TODAY(),"Y"))</f>
        <v>49</v>
      </c>
      <c r="E112" s="9">
        <v>35481</v>
      </c>
      <c r="F112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7 bulan</v>
      </c>
      <c r="G112" t="s">
        <v>77</v>
      </c>
      <c r="H112" t="s">
        <v>61</v>
      </c>
      <c r="I112" t="s">
        <v>68</v>
      </c>
      <c r="J112" t="s">
        <v>139</v>
      </c>
      <c r="K112" t="s">
        <v>139</v>
      </c>
      <c r="L112" t="str">
        <f>_xlfn.TEXTJOIN("/",TRUE,Table2[[#This Row],[Departemen]:[Unit]])</f>
        <v>Production &amp; Engineering/Production/Instant Coffee Process/Instant Coffee Process</v>
      </c>
      <c r="M112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20-04-002-025</v>
      </c>
      <c r="N112" t="s">
        <v>390</v>
      </c>
      <c r="O112" t="str">
        <f>IFERROR(VLOOKUP(Table2[[#This Row],[Atasan]],Table2[[#All],[Hierarchy]:[Kode Posisi]],2,FALSE),"")</f>
        <v>20-04-002-000</v>
      </c>
      <c r="P112" t="s">
        <v>27</v>
      </c>
      <c r="S112" t="str">
        <f>IFERROR(VLOOKUP(Table2[[#This Row],[ID Karyawan]],[1]!Table4[[#All],[Nik]:[Placement]],37,FALSE),"")</f>
        <v/>
      </c>
      <c r="T112" t="s">
        <v>74</v>
      </c>
      <c r="U112" t="s">
        <v>397</v>
      </c>
      <c r="V112" t="s">
        <v>398</v>
      </c>
    </row>
    <row r="113" spans="1:22">
      <c r="A113" t="s">
        <v>399</v>
      </c>
      <c r="B113" t="s">
        <v>400</v>
      </c>
      <c r="C113" s="9">
        <v>28345</v>
      </c>
      <c r="D113">
        <f ca="1">IF(Table2[[#This Row],[Tgl Lahir]]="","Unknown",DATEDIF(Table2[[#This Row],[Tgl Lahir]],TODAY(),"Y"))</f>
        <v>49</v>
      </c>
      <c r="E113" s="9">
        <v>35440</v>
      </c>
      <c r="F113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9 bulan</v>
      </c>
      <c r="G113" t="s">
        <v>77</v>
      </c>
      <c r="H113" t="s">
        <v>61</v>
      </c>
      <c r="I113" t="s">
        <v>68</v>
      </c>
      <c r="J113" t="s">
        <v>139</v>
      </c>
      <c r="K113" t="s">
        <v>139</v>
      </c>
      <c r="L113" t="str">
        <f>_xlfn.TEXTJOIN("/",TRUE,Table2[[#This Row],[Departemen]:[Unit]])</f>
        <v>Production &amp; Engineering/Production/Instant Coffee Process/Instant Coffee Process</v>
      </c>
      <c r="M113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20-04-002-025</v>
      </c>
      <c r="N113" t="s">
        <v>390</v>
      </c>
      <c r="O113" t="str">
        <f>IFERROR(VLOOKUP(Table2[[#This Row],[Atasan]],Table2[[#All],[Hierarchy]:[Kode Posisi]],2,FALSE),"")</f>
        <v>20-04-002-000</v>
      </c>
      <c r="P113" t="s">
        <v>27</v>
      </c>
      <c r="S113" t="str">
        <f>IFERROR(VLOOKUP(Table2[[#This Row],[ID Karyawan]],[1]!Table4[[#All],[Nik]:[Placement]],37,FALSE),"")</f>
        <v/>
      </c>
      <c r="T113" t="s">
        <v>74</v>
      </c>
      <c r="U113" t="s">
        <v>79</v>
      </c>
      <c r="V113">
        <v>0</v>
      </c>
    </row>
    <row r="114" spans="1:22">
      <c r="A114" t="s">
        <v>401</v>
      </c>
      <c r="B114" t="s">
        <v>402</v>
      </c>
      <c r="C114" s="9">
        <v>24382</v>
      </c>
      <c r="D114">
        <f ca="1">IF(Table2[[#This Row],[Tgl Lahir]]="","Unknown",DATEDIF(Table2[[#This Row],[Tgl Lahir]],TODAY(),"Y"))</f>
        <v>60</v>
      </c>
      <c r="E114" s="9">
        <v>35401</v>
      </c>
      <c r="F114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10 bulan</v>
      </c>
      <c r="G114" t="s">
        <v>71</v>
      </c>
      <c r="H114" t="s">
        <v>61</v>
      </c>
      <c r="I114" t="s">
        <v>68</v>
      </c>
      <c r="J114" t="s">
        <v>403</v>
      </c>
      <c r="L114" t="str">
        <f>_xlfn.TEXTJOIN("/",TRUE,Table2[[#This Row],[Departemen]:[Unit]])</f>
        <v>Production &amp; Engineering/Production/Packing</v>
      </c>
      <c r="M114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20-04-003-000</v>
      </c>
      <c r="N114" t="s">
        <v>73</v>
      </c>
      <c r="O114" t="str">
        <f>IFERROR(VLOOKUP(Table2[[#This Row],[Atasan]],Table2[[#All],[Hierarchy]:[Kode Posisi]],2,FALSE),"")</f>
        <v>20-04-000-000</v>
      </c>
      <c r="P114" t="s">
        <v>27</v>
      </c>
      <c r="S114" t="str">
        <f>IFERROR(VLOOKUP(Table2[[#This Row],[ID Karyawan]],[1]!Table4[[#All],[Nik]:[Placement]],37,FALSE),"")</f>
        <v/>
      </c>
      <c r="T114" t="s">
        <v>41</v>
      </c>
      <c r="U114" t="s">
        <v>140</v>
      </c>
      <c r="V114">
        <v>0</v>
      </c>
    </row>
    <row r="115" spans="1:22">
      <c r="A115" t="s">
        <v>404</v>
      </c>
      <c r="B115" t="s">
        <v>405</v>
      </c>
      <c r="C115" s="9">
        <v>27102</v>
      </c>
      <c r="D115">
        <f ca="1">IF(Table2[[#This Row],[Tgl Lahir]]="","Unknown",DATEDIF(Table2[[#This Row],[Tgl Lahir]],TODAY(),"Y"))</f>
        <v>52</v>
      </c>
      <c r="E115" s="9">
        <v>35156</v>
      </c>
      <c r="F115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30 tahun 6 bulan</v>
      </c>
      <c r="G115" t="s">
        <v>101</v>
      </c>
      <c r="H115" t="s">
        <v>61</v>
      </c>
      <c r="I115" t="s">
        <v>68</v>
      </c>
      <c r="J115" t="s">
        <v>403</v>
      </c>
      <c r="K115" t="s">
        <v>406</v>
      </c>
      <c r="L115" t="str">
        <f>_xlfn.TEXTJOIN("/",TRUE,Table2[[#This Row],[Departemen]:[Unit]])</f>
        <v>Production &amp; Engineering/Production/Packing/Bulk Packing</v>
      </c>
      <c r="M115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20-04-003-005</v>
      </c>
      <c r="N115" t="s">
        <v>407</v>
      </c>
      <c r="O115" t="str">
        <f>IFERROR(VLOOKUP(Table2[[#This Row],[Atasan]],Table2[[#All],[Hierarchy]:[Kode Posisi]],2,FALSE),"")</f>
        <v>20-04-003-026</v>
      </c>
      <c r="P115" t="s">
        <v>27</v>
      </c>
      <c r="S115" t="str">
        <f>IFERROR(VLOOKUP(Table2[[#This Row],[ID Karyawan]],[1]!Table4[[#All],[Nik]:[Placement]],37,FALSE),"")</f>
        <v/>
      </c>
      <c r="T115" t="s">
        <v>74</v>
      </c>
      <c r="U115" t="s">
        <v>408</v>
      </c>
      <c r="V115" t="s">
        <v>409</v>
      </c>
    </row>
    <row r="116" spans="1:22">
      <c r="A116" t="s">
        <v>410</v>
      </c>
      <c r="B116" t="s">
        <v>411</v>
      </c>
      <c r="C116" s="9">
        <v>27559</v>
      </c>
      <c r="D116">
        <f ca="1">IF(Table2[[#This Row],[Tgl Lahir]]="","Unknown",DATEDIF(Table2[[#This Row],[Tgl Lahir]],TODAY(),"Y"))</f>
        <v>51</v>
      </c>
      <c r="E116" s="9">
        <v>35443</v>
      </c>
      <c r="F116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9 bulan</v>
      </c>
      <c r="G116" t="s">
        <v>101</v>
      </c>
      <c r="H116" t="s">
        <v>61</v>
      </c>
      <c r="I116" t="s">
        <v>68</v>
      </c>
      <c r="J116" t="s">
        <v>403</v>
      </c>
      <c r="K116" t="s">
        <v>406</v>
      </c>
      <c r="L116" t="str">
        <f>_xlfn.TEXTJOIN("/",TRUE,Table2[[#This Row],[Departemen]:[Unit]])</f>
        <v>Production &amp; Engineering/Production/Packing/Bulk Packing</v>
      </c>
      <c r="M116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20-04-003-005</v>
      </c>
      <c r="N116" t="s">
        <v>407</v>
      </c>
      <c r="O116" t="str">
        <f>IFERROR(VLOOKUP(Table2[[#This Row],[Atasan]],Table2[[#All],[Hierarchy]:[Kode Posisi]],2,FALSE),"")</f>
        <v>20-04-003-026</v>
      </c>
      <c r="P116" t="s">
        <v>27</v>
      </c>
      <c r="S116" t="str">
        <f>IFERROR(VLOOKUP(Table2[[#This Row],[ID Karyawan]],[1]!Table4[[#All],[Nik]:[Placement]],37,FALSE),"")</f>
        <v/>
      </c>
      <c r="T116" t="s">
        <v>74</v>
      </c>
      <c r="U116" t="s">
        <v>412</v>
      </c>
      <c r="V116">
        <v>0</v>
      </c>
    </row>
    <row r="117" spans="1:22">
      <c r="A117" t="s">
        <v>413</v>
      </c>
      <c r="B117" t="s">
        <v>414</v>
      </c>
      <c r="C117" s="9">
        <v>28262</v>
      </c>
      <c r="D117">
        <f ca="1">IF(Table2[[#This Row],[Tgl Lahir]]="","Unknown",DATEDIF(Table2[[#This Row],[Tgl Lahir]],TODAY(),"Y"))</f>
        <v>49</v>
      </c>
      <c r="E117" s="9">
        <v>35548</v>
      </c>
      <c r="F117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5 bulan</v>
      </c>
      <c r="G117" t="s">
        <v>101</v>
      </c>
      <c r="H117" t="s">
        <v>61</v>
      </c>
      <c r="I117" t="s">
        <v>68</v>
      </c>
      <c r="J117" t="s">
        <v>403</v>
      </c>
      <c r="K117" t="s">
        <v>406</v>
      </c>
      <c r="L117" t="str">
        <f>_xlfn.TEXTJOIN("/",TRUE,Table2[[#This Row],[Departemen]:[Unit]])</f>
        <v>Production &amp; Engineering/Production/Packing/Bulk Packing</v>
      </c>
      <c r="M117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20-04-003-005</v>
      </c>
      <c r="N117" t="s">
        <v>407</v>
      </c>
      <c r="O117" t="str">
        <f>IFERROR(VLOOKUP(Table2[[#This Row],[Atasan]],Table2[[#All],[Hierarchy]:[Kode Posisi]],2,FALSE),"")</f>
        <v>20-04-003-026</v>
      </c>
      <c r="P117" t="s">
        <v>27</v>
      </c>
      <c r="S117" t="str">
        <f>IFERROR(VLOOKUP(Table2[[#This Row],[ID Karyawan]],[1]!Table4[[#All],[Nik]:[Placement]],37,FALSE),"")</f>
        <v/>
      </c>
      <c r="T117" t="s">
        <v>74</v>
      </c>
      <c r="U117">
        <v>0</v>
      </c>
      <c r="V117">
        <v>0</v>
      </c>
    </row>
    <row r="118" spans="1:22">
      <c r="A118" t="s">
        <v>415</v>
      </c>
      <c r="B118" t="s">
        <v>416</v>
      </c>
      <c r="C118" s="9">
        <v>25634</v>
      </c>
      <c r="D118">
        <f ca="1">IF(Table2[[#This Row],[Tgl Lahir]]="","Unknown",DATEDIF(Table2[[#This Row],[Tgl Lahir]],TODAY(),"Y"))</f>
        <v>56</v>
      </c>
      <c r="E118" s="9">
        <v>35548</v>
      </c>
      <c r="F118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5 bulan</v>
      </c>
      <c r="G118" t="s">
        <v>101</v>
      </c>
      <c r="H118" t="s">
        <v>61</v>
      </c>
      <c r="I118" t="s">
        <v>68</v>
      </c>
      <c r="J118" t="s">
        <v>403</v>
      </c>
      <c r="K118" t="s">
        <v>406</v>
      </c>
      <c r="L118" t="str">
        <f>_xlfn.TEXTJOIN("/",TRUE,Table2[[#This Row],[Departemen]:[Unit]])</f>
        <v>Production &amp; Engineering/Production/Packing/Bulk Packing</v>
      </c>
      <c r="M118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20-04-003-005</v>
      </c>
      <c r="N118" t="s">
        <v>407</v>
      </c>
      <c r="O118" t="str">
        <f>IFERROR(VLOOKUP(Table2[[#This Row],[Atasan]],Table2[[#All],[Hierarchy]:[Kode Posisi]],2,FALSE),"")</f>
        <v>20-04-003-026</v>
      </c>
      <c r="P118" t="s">
        <v>27</v>
      </c>
      <c r="S118" t="str">
        <f>IFERROR(VLOOKUP(Table2[[#This Row],[ID Karyawan]],[1]!Table4[[#All],[Nik]:[Placement]],37,FALSE),"")</f>
        <v/>
      </c>
      <c r="T118" t="s">
        <v>74</v>
      </c>
      <c r="U118">
        <v>0</v>
      </c>
      <c r="V118">
        <v>0</v>
      </c>
    </row>
    <row r="119" spans="1:22">
      <c r="A119" s="7" t="s">
        <v>417</v>
      </c>
      <c r="B119" s="7" t="s">
        <v>418</v>
      </c>
      <c r="C119" s="10">
        <v>28784</v>
      </c>
      <c r="D119" s="7">
        <f ca="1">IF(Table2[[#This Row],[Tgl Lahir]]="","Unknown",DATEDIF(Table2[[#This Row],[Tgl Lahir]],TODAY(),"Y"))</f>
        <v>47</v>
      </c>
      <c r="E119" s="9">
        <v>35718</v>
      </c>
      <c r="F119" s="7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28 tahun 11 bulan</v>
      </c>
      <c r="G119" s="7" t="s">
        <v>87</v>
      </c>
      <c r="H119" s="7" t="s">
        <v>61</v>
      </c>
      <c r="I119" s="7" t="s">
        <v>68</v>
      </c>
      <c r="J119" s="7" t="s">
        <v>403</v>
      </c>
      <c r="K119" s="7" t="s">
        <v>406</v>
      </c>
      <c r="L119" s="7" t="str">
        <f>_xlfn.TEXTJOIN("/",TRUE,Table2[[#This Row],[Departemen]:[Unit]])</f>
        <v>Production &amp; Engineering/Production/Packing/Bulk Packing</v>
      </c>
      <c r="M119" s="7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20-04-003-005</v>
      </c>
      <c r="N119" s="7" t="s">
        <v>407</v>
      </c>
      <c r="O119" s="7" t="str">
        <f>IFERROR(VLOOKUP(Table2[[#This Row],[Atasan]],Table2[[#All],[Hierarchy]:[Kode Posisi]],2,FALSE),"")</f>
        <v>20-04-003-026</v>
      </c>
      <c r="P119" t="s">
        <v>27</v>
      </c>
      <c r="S119" t="str">
        <f>IFERROR(VLOOKUP(Table2[[#This Row],[ID Karyawan]],[1]!Table4[[#All],[Nik]:[Placement]],37,FALSE),"")</f>
        <v/>
      </c>
      <c r="T119" t="s">
        <v>74</v>
      </c>
      <c r="U119" t="s">
        <v>79</v>
      </c>
      <c r="V119">
        <v>0</v>
      </c>
    </row>
    <row r="120" spans="1:22">
      <c r="A120" t="s">
        <v>419</v>
      </c>
      <c r="B120" t="s">
        <v>420</v>
      </c>
      <c r="C120" s="9">
        <v>27130</v>
      </c>
      <c r="D120">
        <f ca="1">IF(Table2[[#This Row],[Tgl Lahir]]="","Unknown",DATEDIF(Table2[[#This Row],[Tgl Lahir]],TODAY(),"Y"))</f>
        <v>52</v>
      </c>
      <c r="E120" s="9">
        <v>33659</v>
      </c>
      <c r="F120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34 tahun 7 bulan</v>
      </c>
      <c r="G120" t="s">
        <v>87</v>
      </c>
      <c r="H120" t="s">
        <v>61</v>
      </c>
      <c r="I120" t="s">
        <v>68</v>
      </c>
      <c r="J120" t="s">
        <v>403</v>
      </c>
      <c r="K120" t="s">
        <v>406</v>
      </c>
      <c r="L120" t="str">
        <f>_xlfn.TEXTJOIN("/",TRUE,Table2[[#This Row],[Departemen]:[Unit]])</f>
        <v>Production &amp; Engineering/Production/Packing/Bulk Packing</v>
      </c>
      <c r="M120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20-04-003-005</v>
      </c>
      <c r="N120" t="s">
        <v>407</v>
      </c>
      <c r="O120" t="str">
        <f>IFERROR(VLOOKUP(Table2[[#This Row],[Atasan]],Table2[[#All],[Hierarchy]:[Kode Posisi]],2,FALSE),"")</f>
        <v>20-04-003-026</v>
      </c>
      <c r="P120" t="s">
        <v>27</v>
      </c>
      <c r="S120" t="str">
        <f>IFERROR(VLOOKUP(Table2[[#This Row],[ID Karyawan]],[1]!Table4[[#All],[Nik]:[Placement]],37,FALSE),"")</f>
        <v/>
      </c>
      <c r="T120" t="s">
        <v>181</v>
      </c>
      <c r="U120">
        <v>0</v>
      </c>
      <c r="V120">
        <v>0</v>
      </c>
    </row>
    <row r="121" spans="1:22">
      <c r="A121" t="s">
        <v>421</v>
      </c>
      <c r="B121" t="s">
        <v>422</v>
      </c>
      <c r="C121" s="9">
        <v>26806</v>
      </c>
      <c r="D121">
        <f ca="1">IF(Table2[[#This Row],[Tgl Lahir]]="","Unknown",DATEDIF(Table2[[#This Row],[Tgl Lahir]],TODAY(),"Y"))</f>
        <v>53</v>
      </c>
      <c r="E121" s="9">
        <v>34473</v>
      </c>
      <c r="F121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32 tahun 4 bulan</v>
      </c>
      <c r="G121" t="s">
        <v>87</v>
      </c>
      <c r="H121" t="s">
        <v>61</v>
      </c>
      <c r="I121" t="s">
        <v>68</v>
      </c>
      <c r="J121" t="s">
        <v>403</v>
      </c>
      <c r="K121" t="s">
        <v>406</v>
      </c>
      <c r="L121" t="str">
        <f>_xlfn.TEXTJOIN("/",TRUE,Table2[[#This Row],[Departemen]:[Unit]])</f>
        <v>Production &amp; Engineering/Production/Packing/Bulk Packing</v>
      </c>
      <c r="M121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20-04-003-005</v>
      </c>
      <c r="N121" t="s">
        <v>407</v>
      </c>
      <c r="O121" t="str">
        <f>IFERROR(VLOOKUP(Table2[[#This Row],[Atasan]],Table2[[#All],[Hierarchy]:[Kode Posisi]],2,FALSE),"")</f>
        <v>20-04-003-026</v>
      </c>
      <c r="P121" t="s">
        <v>27</v>
      </c>
      <c r="S121" t="str">
        <f>IFERROR(VLOOKUP(Table2[[#This Row],[ID Karyawan]],[1]!Table4[[#All],[Nik]:[Placement]],37,FALSE),"")</f>
        <v/>
      </c>
      <c r="T121" t="s">
        <v>74</v>
      </c>
      <c r="U121" t="s">
        <v>79</v>
      </c>
      <c r="V121">
        <v>0</v>
      </c>
    </row>
    <row r="122" spans="1:22">
      <c r="A122" t="s">
        <v>423</v>
      </c>
      <c r="B122" t="s">
        <v>424</v>
      </c>
      <c r="C122" s="9">
        <v>27524</v>
      </c>
      <c r="D122">
        <f ca="1">IF(Table2[[#This Row],[Tgl Lahir]]="","Unknown",DATEDIF(Table2[[#This Row],[Tgl Lahir]],TODAY(),"Y"))</f>
        <v>51</v>
      </c>
      <c r="E122" s="9">
        <v>35464</v>
      </c>
      <c r="F122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8 bulan</v>
      </c>
      <c r="G122" t="s">
        <v>87</v>
      </c>
      <c r="H122" t="s">
        <v>61</v>
      </c>
      <c r="I122" t="s">
        <v>68</v>
      </c>
      <c r="J122" t="s">
        <v>403</v>
      </c>
      <c r="K122" t="s">
        <v>406</v>
      </c>
      <c r="L122" t="str">
        <f>_xlfn.TEXTJOIN("/",TRUE,Table2[[#This Row],[Departemen]:[Unit]])</f>
        <v>Production &amp; Engineering/Production/Packing/Bulk Packing</v>
      </c>
      <c r="M122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20-04-003-005</v>
      </c>
      <c r="N122" t="s">
        <v>407</v>
      </c>
      <c r="O122" t="str">
        <f>IFERROR(VLOOKUP(Table2[[#This Row],[Atasan]],Table2[[#All],[Hierarchy]:[Kode Posisi]],2,FALSE),"")</f>
        <v>20-04-003-026</v>
      </c>
      <c r="P122" t="s">
        <v>27</v>
      </c>
      <c r="S122" t="str">
        <f>IFERROR(VLOOKUP(Table2[[#This Row],[ID Karyawan]],[1]!Table4[[#All],[Nik]:[Placement]],37,FALSE),"")</f>
        <v/>
      </c>
      <c r="T122" t="s">
        <v>74</v>
      </c>
      <c r="U122">
        <v>0</v>
      </c>
      <c r="V122">
        <v>0</v>
      </c>
    </row>
    <row r="123" spans="1:22">
      <c r="A123" t="s">
        <v>425</v>
      </c>
      <c r="B123" t="s">
        <v>426</v>
      </c>
      <c r="C123" s="9">
        <v>28162</v>
      </c>
      <c r="D123">
        <f ca="1">IF(Table2[[#This Row],[Tgl Lahir]]="","Unknown",DATEDIF(Table2[[#This Row],[Tgl Lahir]],TODAY(),"Y"))</f>
        <v>49</v>
      </c>
      <c r="E123" s="9">
        <v>35486</v>
      </c>
      <c r="F123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7 bulan</v>
      </c>
      <c r="G123" t="s">
        <v>87</v>
      </c>
      <c r="H123" t="s">
        <v>61</v>
      </c>
      <c r="I123" t="s">
        <v>68</v>
      </c>
      <c r="J123" t="s">
        <v>403</v>
      </c>
      <c r="K123" t="s">
        <v>406</v>
      </c>
      <c r="L123" t="str">
        <f>_xlfn.TEXTJOIN("/",TRUE,Table2[[#This Row],[Departemen]:[Unit]])</f>
        <v>Production &amp; Engineering/Production/Packing/Bulk Packing</v>
      </c>
      <c r="M123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20-04-003-005</v>
      </c>
      <c r="N123" t="s">
        <v>407</v>
      </c>
      <c r="O123" t="str">
        <f>IFERROR(VLOOKUP(Table2[[#This Row],[Atasan]],Table2[[#All],[Hierarchy]:[Kode Posisi]],2,FALSE),"")</f>
        <v>20-04-003-026</v>
      </c>
      <c r="P123" t="s">
        <v>27</v>
      </c>
      <c r="S123" t="str">
        <f>IFERROR(VLOOKUP(Table2[[#This Row],[ID Karyawan]],[1]!Table4[[#All],[Nik]:[Placement]],37,FALSE),"")</f>
        <v/>
      </c>
      <c r="T123" t="s">
        <v>74</v>
      </c>
      <c r="U123" t="s">
        <v>427</v>
      </c>
      <c r="V123" t="s">
        <v>428</v>
      </c>
    </row>
    <row r="124" spans="1:22">
      <c r="A124" t="s">
        <v>429</v>
      </c>
      <c r="B124" t="s">
        <v>430</v>
      </c>
      <c r="C124" s="9">
        <v>25445</v>
      </c>
      <c r="D124">
        <f ca="1">IF(Table2[[#This Row],[Tgl Lahir]]="","Unknown",DATEDIF(Table2[[#This Row],[Tgl Lahir]],TODAY(),"Y"))</f>
        <v>57</v>
      </c>
      <c r="E124" s="9" t="s">
        <v>24</v>
      </c>
      <c r="F124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/>
      </c>
      <c r="G124" t="s">
        <v>87</v>
      </c>
      <c r="H124" t="s">
        <v>61</v>
      </c>
      <c r="I124" t="s">
        <v>68</v>
      </c>
      <c r="J124" t="s">
        <v>403</v>
      </c>
      <c r="K124" t="s">
        <v>406</v>
      </c>
      <c r="L124" t="str">
        <f>_xlfn.TEXTJOIN("/",TRUE,Table2[[#This Row],[Departemen]:[Unit]])</f>
        <v>Production &amp; Engineering/Production/Packing/Bulk Packing</v>
      </c>
      <c r="M124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20-04-003-005</v>
      </c>
      <c r="N124" t="s">
        <v>407</v>
      </c>
      <c r="O124" t="str">
        <f>IFERROR(VLOOKUP(Table2[[#This Row],[Atasan]],Table2[[#All],[Hierarchy]:[Kode Posisi]],2,FALSE),"")</f>
        <v>20-04-003-026</v>
      </c>
      <c r="P124" t="s">
        <v>27</v>
      </c>
      <c r="S124" t="str">
        <f>IFERROR(VLOOKUP(Table2[[#This Row],[ID Karyawan]],[1]!Table4[[#All],[Nik]:[Placement]],37,FALSE),"")</f>
        <v/>
      </c>
      <c r="T124" t="s">
        <v>24</v>
      </c>
      <c r="U124" t="s">
        <v>24</v>
      </c>
      <c r="V124" t="s">
        <v>24</v>
      </c>
    </row>
    <row r="125" spans="1:22">
      <c r="A125" t="s">
        <v>431</v>
      </c>
      <c r="B125" t="s">
        <v>432</v>
      </c>
      <c r="C125" s="9">
        <v>28677</v>
      </c>
      <c r="D125">
        <f ca="1">IF(Table2[[#This Row],[Tgl Lahir]]="","Unknown",DATEDIF(Table2[[#This Row],[Tgl Lahir]],TODAY(),"Y"))</f>
        <v>48</v>
      </c>
      <c r="E125" s="9">
        <v>35544</v>
      </c>
      <c r="F125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5 bulan</v>
      </c>
      <c r="G125" t="s">
        <v>87</v>
      </c>
      <c r="H125" t="s">
        <v>61</v>
      </c>
      <c r="I125" t="s">
        <v>68</v>
      </c>
      <c r="J125" t="s">
        <v>403</v>
      </c>
      <c r="K125" t="s">
        <v>406</v>
      </c>
      <c r="L125" t="str">
        <f>_xlfn.TEXTJOIN("/",TRUE,Table2[[#This Row],[Departemen]:[Unit]])</f>
        <v>Production &amp; Engineering/Production/Packing/Bulk Packing</v>
      </c>
      <c r="M125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20-04-003-005</v>
      </c>
      <c r="N125" t="s">
        <v>407</v>
      </c>
      <c r="O125" t="str">
        <f>IFERROR(VLOOKUP(Table2[[#This Row],[Atasan]],Table2[[#All],[Hierarchy]:[Kode Posisi]],2,FALSE),"")</f>
        <v>20-04-003-026</v>
      </c>
      <c r="P125" t="s">
        <v>27</v>
      </c>
      <c r="S125" t="str">
        <f>IFERROR(VLOOKUP(Table2[[#This Row],[ID Karyawan]],[1]!Table4[[#All],[Nik]:[Placement]],37,FALSE),"")</f>
        <v/>
      </c>
      <c r="T125" t="s">
        <v>181</v>
      </c>
      <c r="U125">
        <v>0</v>
      </c>
      <c r="V125">
        <v>0</v>
      </c>
    </row>
    <row r="126" spans="1:22">
      <c r="A126" t="s">
        <v>433</v>
      </c>
      <c r="B126" t="s">
        <v>434</v>
      </c>
      <c r="C126" s="9">
        <v>27826</v>
      </c>
      <c r="D126">
        <f ca="1">IF(Table2[[#This Row],[Tgl Lahir]]="","Unknown",DATEDIF(Table2[[#This Row],[Tgl Lahir]],TODAY(),"Y"))</f>
        <v>50</v>
      </c>
      <c r="E126" s="9">
        <v>35548</v>
      </c>
      <c r="F126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5 bulan</v>
      </c>
      <c r="G126" t="s">
        <v>87</v>
      </c>
      <c r="H126" t="s">
        <v>61</v>
      </c>
      <c r="I126" t="s">
        <v>68</v>
      </c>
      <c r="J126" t="s">
        <v>403</v>
      </c>
      <c r="K126" t="s">
        <v>406</v>
      </c>
      <c r="L126" t="str">
        <f>_xlfn.TEXTJOIN("/",TRUE,Table2[[#This Row],[Departemen]:[Unit]])</f>
        <v>Production &amp; Engineering/Production/Packing/Bulk Packing</v>
      </c>
      <c r="M126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20-04-003-005</v>
      </c>
      <c r="N126" t="s">
        <v>407</v>
      </c>
      <c r="O126" t="str">
        <f>IFERROR(VLOOKUP(Table2[[#This Row],[Atasan]],Table2[[#All],[Hierarchy]:[Kode Posisi]],2,FALSE),"")</f>
        <v>20-04-003-026</v>
      </c>
      <c r="P126" t="s">
        <v>27</v>
      </c>
      <c r="S126" t="str">
        <f>IFERROR(VLOOKUP(Table2[[#This Row],[ID Karyawan]],[1]!Table4[[#All],[Nik]:[Placement]],37,FALSE),"")</f>
        <v/>
      </c>
      <c r="T126" t="s">
        <v>74</v>
      </c>
      <c r="U126" t="s">
        <v>435</v>
      </c>
      <c r="V126" t="s">
        <v>436</v>
      </c>
    </row>
    <row r="127" spans="1:22">
      <c r="A127" t="s">
        <v>437</v>
      </c>
      <c r="B127" t="s">
        <v>438</v>
      </c>
      <c r="C127" s="9">
        <v>26249</v>
      </c>
      <c r="D127">
        <f ca="1">IF(Table2[[#This Row],[Tgl Lahir]]="","Unknown",DATEDIF(Table2[[#This Row],[Tgl Lahir]],TODAY(),"Y"))</f>
        <v>54</v>
      </c>
      <c r="E127" s="9">
        <v>35555</v>
      </c>
      <c r="F127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5 bulan</v>
      </c>
      <c r="G127" t="s">
        <v>87</v>
      </c>
      <c r="H127" t="s">
        <v>61</v>
      </c>
      <c r="I127" t="s">
        <v>68</v>
      </c>
      <c r="J127" t="s">
        <v>403</v>
      </c>
      <c r="K127" t="s">
        <v>406</v>
      </c>
      <c r="L127" t="str">
        <f>_xlfn.TEXTJOIN("/",TRUE,Table2[[#This Row],[Departemen]:[Unit]])</f>
        <v>Production &amp; Engineering/Production/Packing/Bulk Packing</v>
      </c>
      <c r="M127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20-04-003-005</v>
      </c>
      <c r="N127" t="s">
        <v>407</v>
      </c>
      <c r="O127" t="str">
        <f>IFERROR(VLOOKUP(Table2[[#This Row],[Atasan]],Table2[[#All],[Hierarchy]:[Kode Posisi]],2,FALSE),"")</f>
        <v>20-04-003-026</v>
      </c>
      <c r="P127" t="s">
        <v>27</v>
      </c>
      <c r="S127" t="str">
        <f>IFERROR(VLOOKUP(Table2[[#This Row],[ID Karyawan]],[1]!Table4[[#All],[Nik]:[Placement]],37,FALSE),"")</f>
        <v/>
      </c>
      <c r="T127" t="s">
        <v>74</v>
      </c>
      <c r="U127">
        <v>0</v>
      </c>
      <c r="V127">
        <v>0</v>
      </c>
    </row>
    <row r="128" spans="1:22">
      <c r="A128" t="s">
        <v>439</v>
      </c>
      <c r="B128" t="s">
        <v>440</v>
      </c>
      <c r="C128" s="9">
        <v>26567</v>
      </c>
      <c r="D128">
        <f ca="1">IF(Table2[[#This Row],[Tgl Lahir]]="","Unknown",DATEDIF(Table2[[#This Row],[Tgl Lahir]],TODAY(),"Y"))</f>
        <v>54</v>
      </c>
      <c r="E128" s="9">
        <v>35555</v>
      </c>
      <c r="F128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5 bulan</v>
      </c>
      <c r="G128" t="s">
        <v>87</v>
      </c>
      <c r="H128" t="s">
        <v>61</v>
      </c>
      <c r="I128" t="s">
        <v>68</v>
      </c>
      <c r="J128" t="s">
        <v>403</v>
      </c>
      <c r="K128" t="s">
        <v>406</v>
      </c>
      <c r="L128" t="str">
        <f>_xlfn.TEXTJOIN("/",TRUE,Table2[[#This Row],[Departemen]:[Unit]])</f>
        <v>Production &amp; Engineering/Production/Packing/Bulk Packing</v>
      </c>
      <c r="M128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20-04-003-005</v>
      </c>
      <c r="N128" t="s">
        <v>407</v>
      </c>
      <c r="O128" t="str">
        <f>IFERROR(VLOOKUP(Table2[[#This Row],[Atasan]],Table2[[#All],[Hierarchy]:[Kode Posisi]],2,FALSE),"")</f>
        <v>20-04-003-026</v>
      </c>
      <c r="P128" t="s">
        <v>27</v>
      </c>
      <c r="S128" t="str">
        <f>IFERROR(VLOOKUP(Table2[[#This Row],[ID Karyawan]],[1]!Table4[[#All],[Nik]:[Placement]],37,FALSE),"")</f>
        <v/>
      </c>
      <c r="T128" t="s">
        <v>74</v>
      </c>
      <c r="U128">
        <v>0</v>
      </c>
      <c r="V128">
        <v>0</v>
      </c>
    </row>
    <row r="129" spans="1:22">
      <c r="A129" t="s">
        <v>441</v>
      </c>
      <c r="B129" t="s">
        <v>442</v>
      </c>
      <c r="C129" s="9">
        <v>27623</v>
      </c>
      <c r="D129">
        <f ca="1">IF(Table2[[#This Row],[Tgl Lahir]]="","Unknown",DATEDIF(Table2[[#This Row],[Tgl Lahir]],TODAY(),"Y"))</f>
        <v>51</v>
      </c>
      <c r="E129" s="9">
        <v>35555</v>
      </c>
      <c r="F129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5 bulan</v>
      </c>
      <c r="G129" t="s">
        <v>87</v>
      </c>
      <c r="H129" t="s">
        <v>61</v>
      </c>
      <c r="I129" t="s">
        <v>68</v>
      </c>
      <c r="J129" t="s">
        <v>403</v>
      </c>
      <c r="K129" t="s">
        <v>406</v>
      </c>
      <c r="L129" t="str">
        <f>_xlfn.TEXTJOIN("/",TRUE,Table2[[#This Row],[Departemen]:[Unit]])</f>
        <v>Production &amp; Engineering/Production/Packing/Bulk Packing</v>
      </c>
      <c r="M129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20-04-003-005</v>
      </c>
      <c r="N129" t="s">
        <v>407</v>
      </c>
      <c r="O129" t="str">
        <f>IFERROR(VLOOKUP(Table2[[#This Row],[Atasan]],Table2[[#All],[Hierarchy]:[Kode Posisi]],2,FALSE),"")</f>
        <v>20-04-003-026</v>
      </c>
      <c r="P129" t="s">
        <v>27</v>
      </c>
      <c r="S129" t="str">
        <f>IFERROR(VLOOKUP(Table2[[#This Row],[ID Karyawan]],[1]!Table4[[#All],[Nik]:[Placement]],37,FALSE),"")</f>
        <v/>
      </c>
      <c r="T129" t="s">
        <v>74</v>
      </c>
      <c r="U129" t="s">
        <v>231</v>
      </c>
      <c r="V129" t="s">
        <v>443</v>
      </c>
    </row>
    <row r="130" spans="1:22">
      <c r="A130" t="s">
        <v>444</v>
      </c>
      <c r="B130" t="s">
        <v>445</v>
      </c>
      <c r="C130" s="9">
        <v>26840</v>
      </c>
      <c r="D130">
        <f ca="1">IF(Table2[[#This Row],[Tgl Lahir]]="","Unknown",DATEDIF(Table2[[#This Row],[Tgl Lahir]],TODAY(),"Y"))</f>
        <v>53</v>
      </c>
      <c r="E130" s="9">
        <v>35573</v>
      </c>
      <c r="F130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4 bulan</v>
      </c>
      <c r="G130" t="s">
        <v>87</v>
      </c>
      <c r="H130" t="s">
        <v>61</v>
      </c>
      <c r="I130" t="s">
        <v>68</v>
      </c>
      <c r="J130" t="s">
        <v>403</v>
      </c>
      <c r="K130" t="s">
        <v>406</v>
      </c>
      <c r="L130" t="str">
        <f>_xlfn.TEXTJOIN("/",TRUE,Table2[[#This Row],[Departemen]:[Unit]])</f>
        <v>Production &amp; Engineering/Production/Packing/Bulk Packing</v>
      </c>
      <c r="M130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20-04-003-005</v>
      </c>
      <c r="N130" t="s">
        <v>407</v>
      </c>
      <c r="O130" t="str">
        <f>IFERROR(VLOOKUP(Table2[[#This Row],[Atasan]],Table2[[#All],[Hierarchy]:[Kode Posisi]],2,FALSE),"")</f>
        <v>20-04-003-026</v>
      </c>
      <c r="P130" t="s">
        <v>27</v>
      </c>
      <c r="S130" t="str">
        <f>IFERROR(VLOOKUP(Table2[[#This Row],[ID Karyawan]],[1]!Table4[[#All],[Nik]:[Placement]],37,FALSE),"")</f>
        <v/>
      </c>
      <c r="T130" t="s">
        <v>74</v>
      </c>
      <c r="U130">
        <v>0</v>
      </c>
      <c r="V130">
        <v>0</v>
      </c>
    </row>
    <row r="131" spans="1:22">
      <c r="A131" t="s">
        <v>446</v>
      </c>
      <c r="B131" t="s">
        <v>447</v>
      </c>
      <c r="C131" s="9">
        <v>26517</v>
      </c>
      <c r="D131">
        <f ca="1">IF(Table2[[#This Row],[Tgl Lahir]]="","Unknown",DATEDIF(Table2[[#This Row],[Tgl Lahir]],TODAY(),"Y"))</f>
        <v>54</v>
      </c>
      <c r="E131" s="9">
        <v>35621</v>
      </c>
      <c r="F131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3 bulan</v>
      </c>
      <c r="G131" t="s">
        <v>87</v>
      </c>
      <c r="H131" t="s">
        <v>61</v>
      </c>
      <c r="I131" t="s">
        <v>68</v>
      </c>
      <c r="J131" t="s">
        <v>403</v>
      </c>
      <c r="K131" t="s">
        <v>406</v>
      </c>
      <c r="L131" t="str">
        <f>_xlfn.TEXTJOIN("/",TRUE,Table2[[#This Row],[Departemen]:[Unit]])</f>
        <v>Production &amp; Engineering/Production/Packing/Bulk Packing</v>
      </c>
      <c r="M131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20-04-003-005</v>
      </c>
      <c r="N131" t="s">
        <v>407</v>
      </c>
      <c r="O131" t="str">
        <f>IFERROR(VLOOKUP(Table2[[#This Row],[Atasan]],Table2[[#All],[Hierarchy]:[Kode Posisi]],2,FALSE),"")</f>
        <v>20-04-003-026</v>
      </c>
      <c r="P131" t="s">
        <v>27</v>
      </c>
      <c r="S131" t="str">
        <f>IFERROR(VLOOKUP(Table2[[#This Row],[ID Karyawan]],[1]!Table4[[#All],[Nik]:[Placement]],37,FALSE),"")</f>
        <v/>
      </c>
      <c r="T131" t="s">
        <v>74</v>
      </c>
      <c r="U131">
        <v>0</v>
      </c>
      <c r="V131">
        <v>0</v>
      </c>
    </row>
    <row r="132" spans="1:22">
      <c r="A132" t="s">
        <v>448</v>
      </c>
      <c r="B132" t="s">
        <v>420</v>
      </c>
      <c r="C132" s="9">
        <v>28494</v>
      </c>
      <c r="D132">
        <f ca="1">IF(Table2[[#This Row],[Tgl Lahir]]="","Unknown",DATEDIF(Table2[[#This Row],[Tgl Lahir]],TODAY(),"Y"))</f>
        <v>48</v>
      </c>
      <c r="E132" s="9">
        <v>35661</v>
      </c>
      <c r="F132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1 bulan</v>
      </c>
      <c r="G132" t="s">
        <v>87</v>
      </c>
      <c r="H132" t="s">
        <v>61</v>
      </c>
      <c r="I132" t="s">
        <v>68</v>
      </c>
      <c r="J132" t="s">
        <v>403</v>
      </c>
      <c r="K132" t="s">
        <v>406</v>
      </c>
      <c r="L132" t="str">
        <f>_xlfn.TEXTJOIN("/",TRUE,Table2[[#This Row],[Departemen]:[Unit]])</f>
        <v>Production &amp; Engineering/Production/Packing/Bulk Packing</v>
      </c>
      <c r="M132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20-04-003-005</v>
      </c>
      <c r="N132" t="s">
        <v>407</v>
      </c>
      <c r="O132" t="str">
        <f>IFERROR(VLOOKUP(Table2[[#This Row],[Atasan]],Table2[[#All],[Hierarchy]:[Kode Posisi]],2,FALSE),"")</f>
        <v>20-04-003-026</v>
      </c>
      <c r="P132" t="s">
        <v>27</v>
      </c>
      <c r="S132" t="str">
        <f>IFERROR(VLOOKUP(Table2[[#This Row],[ID Karyawan]],[1]!Table4[[#All],[Nik]:[Placement]],37,FALSE),"")</f>
        <v/>
      </c>
      <c r="T132" t="s">
        <v>74</v>
      </c>
      <c r="U132" t="s">
        <v>109</v>
      </c>
      <c r="V132" t="s">
        <v>449</v>
      </c>
    </row>
    <row r="133" spans="1:22">
      <c r="A133" t="s">
        <v>450</v>
      </c>
      <c r="B133" t="s">
        <v>451</v>
      </c>
      <c r="C133" s="9">
        <v>27856</v>
      </c>
      <c r="D133">
        <f ca="1">IF(Table2[[#This Row],[Tgl Lahir]]="","Unknown",DATEDIF(Table2[[#This Row],[Tgl Lahir]],TODAY(),"Y"))</f>
        <v>50</v>
      </c>
      <c r="E133" s="9">
        <v>35669</v>
      </c>
      <c r="F133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1 bulan</v>
      </c>
      <c r="G133" t="s">
        <v>87</v>
      </c>
      <c r="H133" t="s">
        <v>61</v>
      </c>
      <c r="I133" t="s">
        <v>68</v>
      </c>
      <c r="J133" t="s">
        <v>403</v>
      </c>
      <c r="K133" t="s">
        <v>406</v>
      </c>
      <c r="L133" t="str">
        <f>_xlfn.TEXTJOIN("/",TRUE,Table2[[#This Row],[Departemen]:[Unit]])</f>
        <v>Production &amp; Engineering/Production/Packing/Bulk Packing</v>
      </c>
      <c r="M133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20-04-003-005</v>
      </c>
      <c r="N133" t="s">
        <v>407</v>
      </c>
      <c r="O133" t="str">
        <f>IFERROR(VLOOKUP(Table2[[#This Row],[Atasan]],Table2[[#All],[Hierarchy]:[Kode Posisi]],2,FALSE),"")</f>
        <v>20-04-003-026</v>
      </c>
      <c r="P133" t="s">
        <v>27</v>
      </c>
      <c r="S133" t="str">
        <f>IFERROR(VLOOKUP(Table2[[#This Row],[ID Karyawan]],[1]!Table4[[#All],[Nik]:[Placement]],37,FALSE),"")</f>
        <v/>
      </c>
      <c r="T133" t="s">
        <v>74</v>
      </c>
      <c r="U133">
        <v>0</v>
      </c>
      <c r="V133">
        <v>0</v>
      </c>
    </row>
    <row r="134" spans="1:22">
      <c r="A134" t="s">
        <v>452</v>
      </c>
      <c r="B134" t="s">
        <v>453</v>
      </c>
      <c r="C134" s="9">
        <v>28456</v>
      </c>
      <c r="D134">
        <f ca="1">IF(Table2[[#This Row],[Tgl Lahir]]="","Unknown",DATEDIF(Table2[[#This Row],[Tgl Lahir]],TODAY(),"Y"))</f>
        <v>48</v>
      </c>
      <c r="E134" s="9">
        <v>35718</v>
      </c>
      <c r="F134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28 tahun 11 bulan</v>
      </c>
      <c r="G134" t="s">
        <v>87</v>
      </c>
      <c r="H134" t="s">
        <v>61</v>
      </c>
      <c r="I134" t="s">
        <v>68</v>
      </c>
      <c r="J134" t="s">
        <v>403</v>
      </c>
      <c r="K134" t="s">
        <v>406</v>
      </c>
      <c r="L134" t="str">
        <f>_xlfn.TEXTJOIN("/",TRUE,Table2[[#This Row],[Departemen]:[Unit]])</f>
        <v>Production &amp; Engineering/Production/Packing/Bulk Packing</v>
      </c>
      <c r="M134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20-04-003-005</v>
      </c>
      <c r="N134" t="s">
        <v>407</v>
      </c>
      <c r="O134" t="str">
        <f>IFERROR(VLOOKUP(Table2[[#This Row],[Atasan]],Table2[[#All],[Hierarchy]:[Kode Posisi]],2,FALSE),"")</f>
        <v>20-04-003-026</v>
      </c>
      <c r="P134" t="s">
        <v>27</v>
      </c>
      <c r="S134" t="str">
        <f>IFERROR(VLOOKUP(Table2[[#This Row],[ID Karyawan]],[1]!Table4[[#All],[Nik]:[Placement]],37,FALSE),"")</f>
        <v/>
      </c>
      <c r="T134" t="s">
        <v>74</v>
      </c>
      <c r="U134">
        <v>0</v>
      </c>
      <c r="V134">
        <v>0</v>
      </c>
    </row>
    <row r="135" spans="1:22">
      <c r="A135" t="s">
        <v>454</v>
      </c>
      <c r="B135" t="s">
        <v>333</v>
      </c>
      <c r="C135" s="9">
        <v>28576</v>
      </c>
      <c r="D135">
        <f ca="1">IF(Table2[[#This Row],[Tgl Lahir]]="","Unknown",DATEDIF(Table2[[#This Row],[Tgl Lahir]],TODAY(),"Y"))</f>
        <v>48</v>
      </c>
      <c r="E135" s="9">
        <v>35718</v>
      </c>
      <c r="F135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28 tahun 11 bulan</v>
      </c>
      <c r="G135" t="s">
        <v>87</v>
      </c>
      <c r="H135" t="s">
        <v>61</v>
      </c>
      <c r="I135" t="s">
        <v>68</v>
      </c>
      <c r="J135" t="s">
        <v>403</v>
      </c>
      <c r="K135" t="s">
        <v>406</v>
      </c>
      <c r="L135" t="str">
        <f>_xlfn.TEXTJOIN("/",TRUE,Table2[[#This Row],[Departemen]:[Unit]])</f>
        <v>Production &amp; Engineering/Production/Packing/Bulk Packing</v>
      </c>
      <c r="M135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20-04-003-005</v>
      </c>
      <c r="N135" t="s">
        <v>407</v>
      </c>
      <c r="O135" t="str">
        <f>IFERROR(VLOOKUP(Table2[[#This Row],[Atasan]],Table2[[#All],[Hierarchy]:[Kode Posisi]],2,FALSE),"")</f>
        <v>20-04-003-026</v>
      </c>
      <c r="P135" t="s">
        <v>27</v>
      </c>
      <c r="S135" t="str">
        <f>IFERROR(VLOOKUP(Table2[[#This Row],[ID Karyawan]],[1]!Table4[[#All],[Nik]:[Placement]],37,FALSE),"")</f>
        <v/>
      </c>
      <c r="T135" t="s">
        <v>74</v>
      </c>
      <c r="U135">
        <v>0</v>
      </c>
      <c r="V135">
        <v>0</v>
      </c>
    </row>
    <row r="136" spans="1:22">
      <c r="A136" t="s">
        <v>455</v>
      </c>
      <c r="B136" t="s">
        <v>456</v>
      </c>
      <c r="C136" s="9">
        <v>28584</v>
      </c>
      <c r="D136">
        <f ca="1">IF(Table2[[#This Row],[Tgl Lahir]]="","Unknown",DATEDIF(Table2[[#This Row],[Tgl Lahir]],TODAY(),"Y"))</f>
        <v>48</v>
      </c>
      <c r="E136" s="9">
        <v>35747</v>
      </c>
      <c r="F136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28 tahun 11 bulan</v>
      </c>
      <c r="G136" t="s">
        <v>87</v>
      </c>
      <c r="H136" t="s">
        <v>61</v>
      </c>
      <c r="I136" t="s">
        <v>68</v>
      </c>
      <c r="J136" t="s">
        <v>403</v>
      </c>
      <c r="K136" t="s">
        <v>406</v>
      </c>
      <c r="L136" t="str">
        <f>_xlfn.TEXTJOIN("/",TRUE,Table2[[#This Row],[Departemen]:[Unit]])</f>
        <v>Production &amp; Engineering/Production/Packing/Bulk Packing</v>
      </c>
      <c r="M136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20-04-003-005</v>
      </c>
      <c r="N136" t="s">
        <v>407</v>
      </c>
      <c r="O136" t="str">
        <f>IFERROR(VLOOKUP(Table2[[#This Row],[Atasan]],Table2[[#All],[Hierarchy]:[Kode Posisi]],2,FALSE),"")</f>
        <v>20-04-003-026</v>
      </c>
      <c r="P136" t="s">
        <v>27</v>
      </c>
      <c r="S136" t="str">
        <f>IFERROR(VLOOKUP(Table2[[#This Row],[ID Karyawan]],[1]!Table4[[#All],[Nik]:[Placement]],37,FALSE),"")</f>
        <v/>
      </c>
      <c r="T136" t="s">
        <v>181</v>
      </c>
      <c r="U136">
        <v>0</v>
      </c>
      <c r="V136">
        <v>0</v>
      </c>
    </row>
    <row r="137" spans="1:22">
      <c r="A137" t="s">
        <v>457</v>
      </c>
      <c r="B137" t="s">
        <v>458</v>
      </c>
      <c r="C137" s="9">
        <v>34839</v>
      </c>
      <c r="D137">
        <f ca="1">IF(Table2[[#This Row],[Tgl Lahir]]="","Unknown",DATEDIF(Table2[[#This Row],[Tgl Lahir]],TODAY(),"Y"))</f>
        <v>31</v>
      </c>
      <c r="E137" s="9">
        <v>41893</v>
      </c>
      <c r="F137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12 tahun 1 bulan</v>
      </c>
      <c r="G137" t="s">
        <v>87</v>
      </c>
      <c r="H137" t="s">
        <v>61</v>
      </c>
      <c r="I137" t="s">
        <v>68</v>
      </c>
      <c r="J137" t="s">
        <v>403</v>
      </c>
      <c r="K137" t="s">
        <v>406</v>
      </c>
      <c r="L137" t="str">
        <f>_xlfn.TEXTJOIN("/",TRUE,Table2[[#This Row],[Departemen]:[Unit]])</f>
        <v>Production &amp; Engineering/Production/Packing/Bulk Packing</v>
      </c>
      <c r="M137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20-04-003-005</v>
      </c>
      <c r="N137" t="s">
        <v>407</v>
      </c>
      <c r="O137" t="str">
        <f>IFERROR(VLOOKUP(Table2[[#This Row],[Atasan]],Table2[[#All],[Hierarchy]:[Kode Posisi]],2,FALSE),"")</f>
        <v>20-04-003-026</v>
      </c>
      <c r="P137" t="s">
        <v>27</v>
      </c>
      <c r="S137" t="str">
        <f>IFERROR(VLOOKUP(Table2[[#This Row],[ID Karyawan]],[1]!Table4[[#All],[Nik]:[Placement]],37,FALSE),"")</f>
        <v/>
      </c>
      <c r="T137" t="s">
        <v>74</v>
      </c>
      <c r="U137" t="s">
        <v>459</v>
      </c>
      <c r="V137" t="s">
        <v>460</v>
      </c>
    </row>
    <row r="138" spans="1:22">
      <c r="A138" t="s">
        <v>461</v>
      </c>
      <c r="B138" t="s">
        <v>462</v>
      </c>
      <c r="C138" s="9">
        <v>31930</v>
      </c>
      <c r="D138">
        <f ca="1">IF(Table2[[#This Row],[Tgl Lahir]]="","Unknown",DATEDIF(Table2[[#This Row],[Tgl Lahir]],TODAY(),"Y"))</f>
        <v>39</v>
      </c>
      <c r="E138" s="9">
        <v>43276</v>
      </c>
      <c r="F138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8 tahun 3 bulan</v>
      </c>
      <c r="G138" t="s">
        <v>87</v>
      </c>
      <c r="H138" t="s">
        <v>61</v>
      </c>
      <c r="I138" t="s">
        <v>68</v>
      </c>
      <c r="J138" t="s">
        <v>403</v>
      </c>
      <c r="K138" t="s">
        <v>406</v>
      </c>
      <c r="L138" t="str">
        <f>_xlfn.TEXTJOIN("/",TRUE,Table2[[#This Row],[Departemen]:[Unit]])</f>
        <v>Production &amp; Engineering/Production/Packing/Bulk Packing</v>
      </c>
      <c r="M138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20-04-003-005</v>
      </c>
      <c r="N138" t="s">
        <v>407</v>
      </c>
      <c r="O138" t="str">
        <f>IFERROR(VLOOKUP(Table2[[#This Row],[Atasan]],Table2[[#All],[Hierarchy]:[Kode Posisi]],2,FALSE),"")</f>
        <v>20-04-003-026</v>
      </c>
      <c r="P138" t="s">
        <v>27</v>
      </c>
      <c r="S138" t="str">
        <f>IFERROR(VLOOKUP(Table2[[#This Row],[ID Karyawan]],[1]!Table4[[#All],[Nik]:[Placement]],37,FALSE),"")</f>
        <v/>
      </c>
      <c r="T138" t="s">
        <v>74</v>
      </c>
      <c r="U138" t="s">
        <v>463</v>
      </c>
      <c r="V138" t="s">
        <v>464</v>
      </c>
    </row>
    <row r="139" spans="1:22">
      <c r="A139" t="s">
        <v>465</v>
      </c>
      <c r="B139" t="s">
        <v>195</v>
      </c>
      <c r="C139" s="9">
        <v>26293</v>
      </c>
      <c r="D139">
        <f ca="1">IF(Table2[[#This Row],[Tgl Lahir]]="","Unknown",DATEDIF(Table2[[#This Row],[Tgl Lahir]],TODAY(),"Y"))</f>
        <v>54</v>
      </c>
      <c r="E139" s="9">
        <v>33660</v>
      </c>
      <c r="F139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34 tahun 7 bulan</v>
      </c>
      <c r="G139" t="s">
        <v>101</v>
      </c>
      <c r="H139" t="s">
        <v>61</v>
      </c>
      <c r="I139" t="s">
        <v>68</v>
      </c>
      <c r="J139" t="s">
        <v>403</v>
      </c>
      <c r="K139" t="s">
        <v>466</v>
      </c>
      <c r="L139" t="str">
        <f>_xlfn.TEXTJOIN("/",TRUE,Table2[[#This Row],[Departemen]:[Unit]])</f>
        <v>Production &amp; Engineering/Production/Packing/Final Product Packing</v>
      </c>
      <c r="M139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20-04-003-007</v>
      </c>
      <c r="N139" t="s">
        <v>407</v>
      </c>
      <c r="O139" t="str">
        <f>IFERROR(VLOOKUP(Table2[[#This Row],[Atasan]],Table2[[#All],[Hierarchy]:[Kode Posisi]],2,FALSE),"")</f>
        <v>20-04-003-026</v>
      </c>
      <c r="P139" t="s">
        <v>27</v>
      </c>
      <c r="S139" t="str">
        <f>IFERROR(VLOOKUP(Table2[[#This Row],[ID Karyawan]],[1]!Table4[[#All],[Nik]:[Placement]],37,FALSE),"")</f>
        <v/>
      </c>
      <c r="T139" t="s">
        <v>74</v>
      </c>
      <c r="U139" t="s">
        <v>79</v>
      </c>
      <c r="V139" t="s">
        <v>467</v>
      </c>
    </row>
    <row r="140" spans="1:22">
      <c r="A140" t="s">
        <v>468</v>
      </c>
      <c r="B140" t="s">
        <v>469</v>
      </c>
      <c r="C140" s="9">
        <v>33732</v>
      </c>
      <c r="D140">
        <f ca="1">IF(Table2[[#This Row],[Tgl Lahir]]="","Unknown",DATEDIF(Table2[[#This Row],[Tgl Lahir]],TODAY(),"Y"))</f>
        <v>34</v>
      </c>
      <c r="E140" s="9">
        <v>46076</v>
      </c>
      <c r="F140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7 bulan</v>
      </c>
      <c r="G140" t="s">
        <v>101</v>
      </c>
      <c r="H140" t="s">
        <v>61</v>
      </c>
      <c r="I140" t="s">
        <v>68</v>
      </c>
      <c r="J140" t="s">
        <v>403</v>
      </c>
      <c r="K140" t="s">
        <v>466</v>
      </c>
      <c r="L140" t="str">
        <f>_xlfn.TEXTJOIN("/",TRUE,Table2[[#This Row],[Departemen]:[Unit]])</f>
        <v>Production &amp; Engineering/Production/Packing/Final Product Packing</v>
      </c>
      <c r="M140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20-04-003-007</v>
      </c>
      <c r="N140" t="s">
        <v>407</v>
      </c>
      <c r="O140" t="str">
        <f>IFERROR(VLOOKUP(Table2[[#This Row],[Atasan]],Table2[[#All],[Hierarchy]:[Kode Posisi]],2,FALSE),"")</f>
        <v>20-04-003-026</v>
      </c>
      <c r="P140" t="s">
        <v>27</v>
      </c>
      <c r="S140" t="str">
        <f>IFERROR(VLOOKUP(Table2[[#This Row],[ID Karyawan]],[1]!Table4[[#All],[Nik]:[Placement]],37,FALSE),"")</f>
        <v/>
      </c>
      <c r="T140" t="s">
        <v>74</v>
      </c>
      <c r="U140" t="s">
        <v>24</v>
      </c>
      <c r="V140" t="s">
        <v>24</v>
      </c>
    </row>
    <row r="141" spans="1:22">
      <c r="A141" t="s">
        <v>470</v>
      </c>
      <c r="B141" t="s">
        <v>70</v>
      </c>
      <c r="C141" s="9">
        <v>26278</v>
      </c>
      <c r="D141">
        <f ca="1">IF(Table2[[#This Row],[Tgl Lahir]]="","Unknown",DATEDIF(Table2[[#This Row],[Tgl Lahir]],TODAY(),"Y"))</f>
        <v>54</v>
      </c>
      <c r="E141" s="9">
        <v>35488</v>
      </c>
      <c r="F141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7 bulan</v>
      </c>
      <c r="G141" t="s">
        <v>87</v>
      </c>
      <c r="H141" t="s">
        <v>61</v>
      </c>
      <c r="I141" t="s">
        <v>68</v>
      </c>
      <c r="J141" t="s">
        <v>403</v>
      </c>
      <c r="K141" t="s">
        <v>466</v>
      </c>
      <c r="L141" t="str">
        <f>_xlfn.TEXTJOIN("/",TRUE,Table2[[#This Row],[Departemen]:[Unit]])</f>
        <v>Production &amp; Engineering/Production/Packing/Final Product Packing</v>
      </c>
      <c r="M141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20-04-003-007</v>
      </c>
      <c r="N141" t="s">
        <v>407</v>
      </c>
      <c r="O141" t="str">
        <f>IFERROR(VLOOKUP(Table2[[#This Row],[Atasan]],Table2[[#All],[Hierarchy]:[Kode Posisi]],2,FALSE),"")</f>
        <v>20-04-003-026</v>
      </c>
      <c r="P141" t="s">
        <v>27</v>
      </c>
      <c r="S141" t="str">
        <f>IFERROR(VLOOKUP(Table2[[#This Row],[ID Karyawan]],[1]!Table4[[#All],[Nik]:[Placement]],37,FALSE),"")</f>
        <v/>
      </c>
      <c r="T141" t="s">
        <v>74</v>
      </c>
      <c r="U141" t="s">
        <v>299</v>
      </c>
      <c r="V141" t="s">
        <v>471</v>
      </c>
    </row>
    <row r="142" spans="1:22">
      <c r="A142" t="s">
        <v>472</v>
      </c>
      <c r="B142" t="s">
        <v>473</v>
      </c>
      <c r="C142" s="9">
        <v>26176</v>
      </c>
      <c r="D142">
        <f ca="1">IF(Table2[[#This Row],[Tgl Lahir]]="","Unknown",DATEDIF(Table2[[#This Row],[Tgl Lahir]],TODAY(),"Y"))</f>
        <v>55</v>
      </c>
      <c r="E142" s="9">
        <v>35513</v>
      </c>
      <c r="F142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6 bulan</v>
      </c>
      <c r="G142" t="s">
        <v>87</v>
      </c>
      <c r="H142" t="s">
        <v>61</v>
      </c>
      <c r="I142" t="s">
        <v>68</v>
      </c>
      <c r="J142" t="s">
        <v>403</v>
      </c>
      <c r="K142" t="s">
        <v>466</v>
      </c>
      <c r="L142" t="str">
        <f>_xlfn.TEXTJOIN("/",TRUE,Table2[[#This Row],[Departemen]:[Unit]])</f>
        <v>Production &amp; Engineering/Production/Packing/Final Product Packing</v>
      </c>
      <c r="M142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20-04-003-007</v>
      </c>
      <c r="N142" t="s">
        <v>407</v>
      </c>
      <c r="O142" t="str">
        <f>IFERROR(VLOOKUP(Table2[[#This Row],[Atasan]],Table2[[#All],[Hierarchy]:[Kode Posisi]],2,FALSE),"")</f>
        <v>20-04-003-026</v>
      </c>
      <c r="P142" t="s">
        <v>27</v>
      </c>
      <c r="S142" t="str">
        <f>IFERROR(VLOOKUP(Table2[[#This Row],[ID Karyawan]],[1]!Table4[[#All],[Nik]:[Placement]],37,FALSE),"")</f>
        <v/>
      </c>
      <c r="T142" t="s">
        <v>74</v>
      </c>
      <c r="U142">
        <v>0</v>
      </c>
      <c r="V142">
        <v>0</v>
      </c>
    </row>
    <row r="143" spans="1:22">
      <c r="A143" t="s">
        <v>474</v>
      </c>
      <c r="B143" t="s">
        <v>475</v>
      </c>
      <c r="C143" s="9">
        <v>26936</v>
      </c>
      <c r="D143">
        <f ca="1">IF(Table2[[#This Row],[Tgl Lahir]]="","Unknown",DATEDIF(Table2[[#This Row],[Tgl Lahir]],TODAY(),"Y"))</f>
        <v>53</v>
      </c>
      <c r="E143" s="9">
        <v>35513</v>
      </c>
      <c r="F143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6 bulan</v>
      </c>
      <c r="G143" t="s">
        <v>87</v>
      </c>
      <c r="H143" t="s">
        <v>61</v>
      </c>
      <c r="I143" t="s">
        <v>68</v>
      </c>
      <c r="J143" t="s">
        <v>403</v>
      </c>
      <c r="K143" t="s">
        <v>466</v>
      </c>
      <c r="L143" t="str">
        <f>_xlfn.TEXTJOIN("/",TRUE,Table2[[#This Row],[Departemen]:[Unit]])</f>
        <v>Production &amp; Engineering/Production/Packing/Final Product Packing</v>
      </c>
      <c r="M143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20-04-003-007</v>
      </c>
      <c r="N143" t="s">
        <v>407</v>
      </c>
      <c r="O143" t="str">
        <f>IFERROR(VLOOKUP(Table2[[#This Row],[Atasan]],Table2[[#All],[Hierarchy]:[Kode Posisi]],2,FALSE),"")</f>
        <v>20-04-003-026</v>
      </c>
      <c r="P143" t="s">
        <v>27</v>
      </c>
      <c r="S143" t="str">
        <f>IFERROR(VLOOKUP(Table2[[#This Row],[ID Karyawan]],[1]!Table4[[#All],[Nik]:[Placement]],37,FALSE),"")</f>
        <v/>
      </c>
      <c r="T143" t="s">
        <v>74</v>
      </c>
      <c r="U143" t="s">
        <v>435</v>
      </c>
      <c r="V143">
        <v>0</v>
      </c>
    </row>
    <row r="144" spans="1:22">
      <c r="A144" t="s">
        <v>476</v>
      </c>
      <c r="B144" t="s">
        <v>477</v>
      </c>
      <c r="C144" s="9">
        <v>26855</v>
      </c>
      <c r="D144">
        <f ca="1">IF(Table2[[#This Row],[Tgl Lahir]]="","Unknown",DATEDIF(Table2[[#This Row],[Tgl Lahir]],TODAY(),"Y"))</f>
        <v>53</v>
      </c>
      <c r="E144" s="9">
        <v>35489</v>
      </c>
      <c r="F144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7 bulan</v>
      </c>
      <c r="G144" t="s">
        <v>77</v>
      </c>
      <c r="H144" t="s">
        <v>61</v>
      </c>
      <c r="I144" t="s">
        <v>68</v>
      </c>
      <c r="J144" t="s">
        <v>403</v>
      </c>
      <c r="K144" t="s">
        <v>403</v>
      </c>
      <c r="L144" t="str">
        <f>_xlfn.TEXTJOIN("/",TRUE,Table2[[#This Row],[Departemen]:[Unit]])</f>
        <v>Production &amp; Engineering/Production/Packing/Packing</v>
      </c>
      <c r="M144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20-04-003-026</v>
      </c>
      <c r="N144" t="s">
        <v>478</v>
      </c>
      <c r="O144" t="str">
        <f>IFERROR(VLOOKUP(Table2[[#This Row],[Atasan]],Table2[[#All],[Hierarchy]:[Kode Posisi]],2,FALSE),"")</f>
        <v>20-04-003-000</v>
      </c>
      <c r="P144" t="s">
        <v>27</v>
      </c>
      <c r="S144" t="str">
        <f>IFERROR(VLOOKUP(Table2[[#This Row],[ID Karyawan]],[1]!Table4[[#All],[Nik]:[Placement]],37,FALSE),"")</f>
        <v/>
      </c>
      <c r="T144" t="s">
        <v>74</v>
      </c>
      <c r="U144" t="s">
        <v>409</v>
      </c>
      <c r="V144" t="s">
        <v>479</v>
      </c>
    </row>
    <row r="145" spans="1:22">
      <c r="A145" t="s">
        <v>480</v>
      </c>
      <c r="B145" t="s">
        <v>481</v>
      </c>
      <c r="C145" s="9">
        <v>32272</v>
      </c>
      <c r="D145">
        <f ca="1">IF(Table2[[#This Row],[Tgl Lahir]]="","Unknown",DATEDIF(Table2[[#This Row],[Tgl Lahir]],TODAY(),"Y"))</f>
        <v>38</v>
      </c>
      <c r="E145" s="9">
        <v>40294</v>
      </c>
      <c r="F145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16 tahun 5 bulan</v>
      </c>
      <c r="G145" t="s">
        <v>77</v>
      </c>
      <c r="H145" t="s">
        <v>61</v>
      </c>
      <c r="I145" t="s">
        <v>68</v>
      </c>
      <c r="J145" t="s">
        <v>403</v>
      </c>
      <c r="K145" t="s">
        <v>403</v>
      </c>
      <c r="L145" t="str">
        <f>_xlfn.TEXTJOIN("/",TRUE,Table2[[#This Row],[Departemen]:[Unit]])</f>
        <v>Production &amp; Engineering/Production/Packing/Packing</v>
      </c>
      <c r="M145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20-04-003-026</v>
      </c>
      <c r="N145" t="s">
        <v>478</v>
      </c>
      <c r="O145" t="str">
        <f>IFERROR(VLOOKUP(Table2[[#This Row],[Atasan]],Table2[[#All],[Hierarchy]:[Kode Posisi]],2,FALSE),"")</f>
        <v>20-04-003-000</v>
      </c>
      <c r="P145" t="s">
        <v>27</v>
      </c>
      <c r="S145" t="str">
        <f>IFERROR(VLOOKUP(Table2[[#This Row],[ID Karyawan]],[1]!Table4[[#All],[Nik]:[Placement]],37,FALSE),"")</f>
        <v/>
      </c>
      <c r="T145" t="s">
        <v>121</v>
      </c>
      <c r="U145" t="s">
        <v>482</v>
      </c>
      <c r="V145" t="s">
        <v>483</v>
      </c>
    </row>
    <row r="146" spans="1:22">
      <c r="A146" t="s">
        <v>484</v>
      </c>
      <c r="B146" t="s">
        <v>485</v>
      </c>
      <c r="C146" s="9">
        <v>35169</v>
      </c>
      <c r="D146">
        <f ca="1">IF(Table2[[#This Row],[Tgl Lahir]]="","Unknown",DATEDIF(Table2[[#This Row],[Tgl Lahir]],TODAY(),"Y"))</f>
        <v>30</v>
      </c>
      <c r="E146" s="9">
        <v>44033</v>
      </c>
      <c r="F146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6 tahun 2 bulan</v>
      </c>
      <c r="G146" t="s">
        <v>77</v>
      </c>
      <c r="H146" t="s">
        <v>61</v>
      </c>
      <c r="I146" t="s">
        <v>68</v>
      </c>
      <c r="J146" t="s">
        <v>403</v>
      </c>
      <c r="K146" t="s">
        <v>403</v>
      </c>
      <c r="L146" t="str">
        <f>_xlfn.TEXTJOIN("/",TRUE,Table2[[#This Row],[Departemen]:[Unit]])</f>
        <v>Production &amp; Engineering/Production/Packing/Packing</v>
      </c>
      <c r="M146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20-04-003-026</v>
      </c>
      <c r="N146" t="s">
        <v>478</v>
      </c>
      <c r="O146" t="str">
        <f>IFERROR(VLOOKUP(Table2[[#This Row],[Atasan]],Table2[[#All],[Hierarchy]:[Kode Posisi]],2,FALSE),"")</f>
        <v>20-04-003-000</v>
      </c>
      <c r="P146" t="s">
        <v>27</v>
      </c>
      <c r="S146" t="str">
        <f>IFERROR(VLOOKUP(Table2[[#This Row],[ID Karyawan]],[1]!Table4[[#All],[Nik]:[Placement]],37,FALSE),"")</f>
        <v/>
      </c>
      <c r="T146" t="s">
        <v>41</v>
      </c>
      <c r="U146" t="s">
        <v>336</v>
      </c>
      <c r="V146" t="s">
        <v>486</v>
      </c>
    </row>
    <row r="147" spans="1:22">
      <c r="A147" t="s">
        <v>487</v>
      </c>
      <c r="B147" t="s">
        <v>488</v>
      </c>
      <c r="C147" s="9">
        <v>34639</v>
      </c>
      <c r="D147">
        <f ca="1">IF(Table2[[#This Row],[Tgl Lahir]]="","Unknown",DATEDIF(Table2[[#This Row],[Tgl Lahir]],TODAY(),"Y"))</f>
        <v>31</v>
      </c>
      <c r="E147" s="9">
        <v>42688</v>
      </c>
      <c r="F147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9 tahun 10 bulan</v>
      </c>
      <c r="G147" t="s">
        <v>489</v>
      </c>
      <c r="H147" t="s">
        <v>61</v>
      </c>
      <c r="I147" t="s">
        <v>68</v>
      </c>
      <c r="J147" t="s">
        <v>403</v>
      </c>
      <c r="K147" t="s">
        <v>403</v>
      </c>
      <c r="L147" t="str">
        <f>_xlfn.TEXTJOIN("/",TRUE,Table2[[#This Row],[Departemen]:[Unit]])</f>
        <v>Production &amp; Engineering/Production/Packing/Packing</v>
      </c>
      <c r="M147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20-04-003-026</v>
      </c>
      <c r="N147" t="s">
        <v>478</v>
      </c>
      <c r="O147" t="str">
        <f>IFERROR(VLOOKUP(Table2[[#This Row],[Atasan]],Table2[[#All],[Hierarchy]:[Kode Posisi]],2,FALSE),"")</f>
        <v>20-04-003-000</v>
      </c>
      <c r="P147" t="s">
        <v>27</v>
      </c>
      <c r="S147" t="str">
        <f>IFERROR(VLOOKUP(Table2[[#This Row],[ID Karyawan]],[1]!Table4[[#All],[Nik]:[Placement]],37,FALSE),"")</f>
        <v/>
      </c>
      <c r="T147" t="s">
        <v>41</v>
      </c>
      <c r="U147" t="s">
        <v>336</v>
      </c>
      <c r="V147" t="s">
        <v>490</v>
      </c>
    </row>
    <row r="148" spans="1:22">
      <c r="A148" t="s">
        <v>491</v>
      </c>
      <c r="B148" t="s">
        <v>492</v>
      </c>
      <c r="C148" s="9">
        <v>28920</v>
      </c>
      <c r="D148">
        <f ca="1">IF(Table2[[#This Row],[Tgl Lahir]]="","Unknown",DATEDIF(Table2[[#This Row],[Tgl Lahir]],TODAY(),"Y"))</f>
        <v>47</v>
      </c>
      <c r="E148" s="9">
        <v>40910</v>
      </c>
      <c r="F148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14 tahun 9 bulan</v>
      </c>
      <c r="G148" t="s">
        <v>71</v>
      </c>
      <c r="H148" t="s">
        <v>61</v>
      </c>
      <c r="I148" t="s">
        <v>68</v>
      </c>
      <c r="J148" t="s">
        <v>493</v>
      </c>
      <c r="L148" t="str">
        <f>_xlfn.TEXTJOIN("/",TRUE,Table2[[#This Row],[Departemen]:[Unit]])</f>
        <v>Production &amp; Engineering/Production/WT/WWTP</v>
      </c>
      <c r="M148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20-04-004-000</v>
      </c>
      <c r="N148" t="s">
        <v>73</v>
      </c>
      <c r="O148" t="str">
        <f>IFERROR(VLOOKUP(Table2[[#This Row],[Atasan]],Table2[[#All],[Hierarchy]:[Kode Posisi]],2,FALSE),"")</f>
        <v>20-04-000-000</v>
      </c>
      <c r="P148" t="s">
        <v>27</v>
      </c>
      <c r="S148" t="str">
        <f>IFERROR(VLOOKUP(Table2[[#This Row],[ID Karyawan]],[1]!Table4[[#All],[Nik]:[Placement]],37,FALSE),"")</f>
        <v/>
      </c>
      <c r="T148" t="s">
        <v>41</v>
      </c>
      <c r="U148" t="s">
        <v>494</v>
      </c>
      <c r="V148" t="s">
        <v>495</v>
      </c>
    </row>
    <row r="149" spans="1:22">
      <c r="A149" t="s">
        <v>496</v>
      </c>
      <c r="B149" t="s">
        <v>497</v>
      </c>
      <c r="C149" s="9">
        <v>26076</v>
      </c>
      <c r="D149">
        <f ca="1">IF(Table2[[#This Row],[Tgl Lahir]]="","Unknown",DATEDIF(Table2[[#This Row],[Tgl Lahir]],TODAY(),"Y"))</f>
        <v>55</v>
      </c>
      <c r="E149" s="9">
        <v>33581</v>
      </c>
      <c r="F149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34 tahun 10 bulan</v>
      </c>
      <c r="G149" t="s">
        <v>77</v>
      </c>
      <c r="H149" t="s">
        <v>61</v>
      </c>
      <c r="I149" t="s">
        <v>68</v>
      </c>
      <c r="J149" t="s">
        <v>493</v>
      </c>
      <c r="K149" t="s">
        <v>493</v>
      </c>
      <c r="L149" t="str">
        <f>_xlfn.TEXTJOIN("/",TRUE,Table2[[#This Row],[Departemen]:[Unit]])</f>
        <v>Production &amp; Engineering/Production/WT/WWTP/WT/WWTP</v>
      </c>
      <c r="M149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20-04-004-027</v>
      </c>
      <c r="N149" t="s">
        <v>498</v>
      </c>
      <c r="O149" t="str">
        <f>IFERROR(VLOOKUP(Table2[[#This Row],[Atasan]],Table2[[#All],[Hierarchy]:[Kode Posisi]],2,FALSE),"")</f>
        <v>20-04-004-000</v>
      </c>
      <c r="P149" t="s">
        <v>27</v>
      </c>
      <c r="S149" t="str">
        <f>IFERROR(VLOOKUP(Table2[[#This Row],[ID Karyawan]],[1]!Table4[[#All],[Nik]:[Placement]],37,FALSE),"")</f>
        <v/>
      </c>
      <c r="T149" t="s">
        <v>74</v>
      </c>
      <c r="U149" t="s">
        <v>336</v>
      </c>
      <c r="V149" t="s">
        <v>499</v>
      </c>
    </row>
    <row r="150" spans="1:22">
      <c r="A150" t="s">
        <v>500</v>
      </c>
      <c r="B150" t="s">
        <v>501</v>
      </c>
      <c r="C150" s="9">
        <v>28355</v>
      </c>
      <c r="D150">
        <f ca="1">IF(Table2[[#This Row],[Tgl Lahir]]="","Unknown",DATEDIF(Table2[[#This Row],[Tgl Lahir]],TODAY(),"Y"))</f>
        <v>49</v>
      </c>
      <c r="E150" s="9">
        <v>35453</v>
      </c>
      <c r="F150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8 bulan</v>
      </c>
      <c r="G150" t="s">
        <v>77</v>
      </c>
      <c r="H150" t="s">
        <v>61</v>
      </c>
      <c r="I150" t="s">
        <v>68</v>
      </c>
      <c r="J150" t="s">
        <v>493</v>
      </c>
      <c r="K150" t="s">
        <v>493</v>
      </c>
      <c r="L150" t="str">
        <f>_xlfn.TEXTJOIN("/",TRUE,Table2[[#This Row],[Departemen]:[Unit]])</f>
        <v>Production &amp; Engineering/Production/WT/WWTP/WT/WWTP</v>
      </c>
      <c r="M150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20-04-004-027</v>
      </c>
      <c r="N150" t="s">
        <v>498</v>
      </c>
      <c r="O150" t="str">
        <f>IFERROR(VLOOKUP(Table2[[#This Row],[Atasan]],Table2[[#All],[Hierarchy]:[Kode Posisi]],2,FALSE),"")</f>
        <v>20-04-004-000</v>
      </c>
      <c r="P150" t="s">
        <v>27</v>
      </c>
      <c r="S150" t="str">
        <f>IFERROR(VLOOKUP(Table2[[#This Row],[ID Karyawan]],[1]!Table4[[#All],[Nik]:[Placement]],37,FALSE),"")</f>
        <v/>
      </c>
      <c r="T150" t="s">
        <v>41</v>
      </c>
      <c r="U150" t="s">
        <v>502</v>
      </c>
      <c r="V150" t="s">
        <v>503</v>
      </c>
    </row>
    <row r="151" spans="1:22">
      <c r="A151" t="s">
        <v>504</v>
      </c>
      <c r="B151" t="s">
        <v>505</v>
      </c>
      <c r="C151" s="9">
        <v>34627</v>
      </c>
      <c r="D151">
        <f ca="1">IF(Table2[[#This Row],[Tgl Lahir]]="","Unknown",DATEDIF(Table2[[#This Row],[Tgl Lahir]],TODAY(),"Y"))</f>
        <v>31</v>
      </c>
      <c r="E151" s="9">
        <v>44201</v>
      </c>
      <c r="F151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5 tahun 9 bulan</v>
      </c>
      <c r="G151" t="s">
        <v>77</v>
      </c>
      <c r="H151" t="s">
        <v>61</v>
      </c>
      <c r="I151" t="s">
        <v>68</v>
      </c>
      <c r="J151" t="s">
        <v>493</v>
      </c>
      <c r="K151" t="s">
        <v>493</v>
      </c>
      <c r="L151" t="str">
        <f>_xlfn.TEXTJOIN("/",TRUE,Table2[[#This Row],[Departemen]:[Unit]])</f>
        <v>Production &amp; Engineering/Production/WT/WWTP/WT/WWTP</v>
      </c>
      <c r="M151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20-04-004-027</v>
      </c>
      <c r="N151" t="s">
        <v>498</v>
      </c>
      <c r="O151" t="str">
        <f>IFERROR(VLOOKUP(Table2[[#This Row],[Atasan]],Table2[[#All],[Hierarchy]:[Kode Posisi]],2,FALSE),"")</f>
        <v>20-04-004-000</v>
      </c>
      <c r="P151" t="s">
        <v>27</v>
      </c>
      <c r="S151" t="str">
        <f>IFERROR(VLOOKUP(Table2[[#This Row],[ID Karyawan]],[1]!Table4[[#All],[Nik]:[Placement]],37,FALSE),"")</f>
        <v/>
      </c>
      <c r="T151" t="s">
        <v>41</v>
      </c>
      <c r="U151" t="s">
        <v>506</v>
      </c>
      <c r="V151" t="s">
        <v>507</v>
      </c>
    </row>
    <row r="152" spans="1:22">
      <c r="A152" t="s">
        <v>508</v>
      </c>
      <c r="B152" t="s">
        <v>509</v>
      </c>
      <c r="C152" s="9">
        <v>37312</v>
      </c>
      <c r="D152">
        <f ca="1">IF(Table2[[#This Row],[Tgl Lahir]]="","Unknown",DATEDIF(Table2[[#This Row],[Tgl Lahir]],TODAY(),"Y"))</f>
        <v>24</v>
      </c>
      <c r="E152" s="9">
        <v>44872</v>
      </c>
      <c r="F152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 tahun 11 bulan</v>
      </c>
      <c r="G152" t="s">
        <v>77</v>
      </c>
      <c r="H152" t="s">
        <v>61</v>
      </c>
      <c r="I152" t="s">
        <v>68</v>
      </c>
      <c r="J152" t="s">
        <v>493</v>
      </c>
      <c r="K152" t="s">
        <v>493</v>
      </c>
      <c r="L152" t="str">
        <f>_xlfn.TEXTJOIN("/",TRUE,Table2[[#This Row],[Departemen]:[Unit]])</f>
        <v>Production &amp; Engineering/Production/WT/WWTP/WT/WWTP</v>
      </c>
      <c r="M152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20-04-004-027</v>
      </c>
      <c r="N152" t="s">
        <v>498</v>
      </c>
      <c r="O152" t="str">
        <f>IFERROR(VLOOKUP(Table2[[#This Row],[Atasan]],Table2[[#All],[Hierarchy]:[Kode Posisi]],2,FALSE),"")</f>
        <v>20-04-004-000</v>
      </c>
      <c r="P152" t="s">
        <v>27</v>
      </c>
      <c r="S152" t="str">
        <f>IFERROR(VLOOKUP(Table2[[#This Row],[ID Karyawan]],[1]!Table4[[#All],[Nik]:[Placement]],37,FALSE),"")</f>
        <v/>
      </c>
      <c r="T152" t="s">
        <v>41</v>
      </c>
      <c r="U152" t="s">
        <v>506</v>
      </c>
      <c r="V152" t="s">
        <v>510</v>
      </c>
    </row>
    <row r="153" spans="1:22">
      <c r="A153" t="s">
        <v>511</v>
      </c>
      <c r="B153" t="s">
        <v>512</v>
      </c>
      <c r="C153" s="9">
        <v>27320</v>
      </c>
      <c r="D153">
        <f ca="1">IF(Table2[[#This Row],[Tgl Lahir]]="","Unknown",DATEDIF(Table2[[#This Row],[Tgl Lahir]],TODAY(),"Y"))</f>
        <v>51</v>
      </c>
      <c r="E153" s="9">
        <v>35250</v>
      </c>
      <c r="F153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30 tahun 3 bulan</v>
      </c>
      <c r="G153" t="s">
        <v>87</v>
      </c>
      <c r="H153" t="s">
        <v>61</v>
      </c>
      <c r="I153" t="s">
        <v>68</v>
      </c>
      <c r="J153" t="s">
        <v>493</v>
      </c>
      <c r="K153" t="s">
        <v>513</v>
      </c>
      <c r="L153" t="str">
        <f>_xlfn.TEXTJOIN("/",TRUE,Table2[[#This Row],[Departemen]:[Unit]])</f>
        <v>Production &amp; Engineering/Production/WT/WWTP/Water Treatment</v>
      </c>
      <c r="M153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20-04-004-028</v>
      </c>
      <c r="N153" t="s">
        <v>514</v>
      </c>
      <c r="O153" t="str">
        <f>IFERROR(VLOOKUP(Table2[[#This Row],[Atasan]],Table2[[#All],[Hierarchy]:[Kode Posisi]],2,FALSE),"")</f>
        <v>20-04-004-027</v>
      </c>
      <c r="P153" t="s">
        <v>27</v>
      </c>
      <c r="S153" t="str">
        <f>IFERROR(VLOOKUP(Table2[[#This Row],[ID Karyawan]],[1]!Table4[[#All],[Nik]:[Placement]],37,FALSE),"")</f>
        <v/>
      </c>
      <c r="T153" t="s">
        <v>74</v>
      </c>
      <c r="U153" t="s">
        <v>79</v>
      </c>
      <c r="V153" t="s">
        <v>515</v>
      </c>
    </row>
    <row r="154" spans="1:22">
      <c r="A154" t="s">
        <v>516</v>
      </c>
      <c r="B154" t="s">
        <v>517</v>
      </c>
      <c r="C154" s="9">
        <v>26524</v>
      </c>
      <c r="D154">
        <f ca="1">IF(Table2[[#This Row],[Tgl Lahir]]="","Unknown",DATEDIF(Table2[[#This Row],[Tgl Lahir]],TODAY(),"Y"))</f>
        <v>54</v>
      </c>
      <c r="E154" s="9" t="s">
        <v>24</v>
      </c>
      <c r="F154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/>
      </c>
      <c r="G154" t="s">
        <v>87</v>
      </c>
      <c r="H154" t="s">
        <v>61</v>
      </c>
      <c r="I154" t="s">
        <v>68</v>
      </c>
      <c r="J154" t="s">
        <v>493</v>
      </c>
      <c r="K154" t="s">
        <v>513</v>
      </c>
      <c r="L154" t="str">
        <f>_xlfn.TEXTJOIN("/",TRUE,Table2[[#This Row],[Departemen]:[Unit]])</f>
        <v>Production &amp; Engineering/Production/WT/WWTP/Water Treatment</v>
      </c>
      <c r="M154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20-04-004-028</v>
      </c>
      <c r="N154" t="s">
        <v>514</v>
      </c>
      <c r="O154" t="str">
        <f>IFERROR(VLOOKUP(Table2[[#This Row],[Atasan]],Table2[[#All],[Hierarchy]:[Kode Posisi]],2,FALSE),"")</f>
        <v>20-04-004-027</v>
      </c>
      <c r="P154" t="s">
        <v>27</v>
      </c>
      <c r="S154" t="str">
        <f>IFERROR(VLOOKUP(Table2[[#This Row],[ID Karyawan]],[1]!Table4[[#All],[Nik]:[Placement]],37,FALSE),"")</f>
        <v/>
      </c>
      <c r="T154" t="s">
        <v>24</v>
      </c>
      <c r="U154" t="s">
        <v>24</v>
      </c>
      <c r="V154" t="s">
        <v>24</v>
      </c>
    </row>
    <row r="155" spans="1:22">
      <c r="A155" t="s">
        <v>518</v>
      </c>
      <c r="B155" t="s">
        <v>519</v>
      </c>
      <c r="C155" s="9">
        <v>27670</v>
      </c>
      <c r="D155">
        <f ca="1">IF(Table2[[#This Row],[Tgl Lahir]]="","Unknown",DATEDIF(Table2[[#This Row],[Tgl Lahir]],TODAY(),"Y"))</f>
        <v>51</v>
      </c>
      <c r="E155" s="9">
        <v>35709</v>
      </c>
      <c r="F155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0 bulan</v>
      </c>
      <c r="G155" t="s">
        <v>87</v>
      </c>
      <c r="H155" t="s">
        <v>61</v>
      </c>
      <c r="I155" t="s">
        <v>68</v>
      </c>
      <c r="J155" t="s">
        <v>493</v>
      </c>
      <c r="K155" t="s">
        <v>513</v>
      </c>
      <c r="L155" t="str">
        <f>_xlfn.TEXTJOIN("/",TRUE,Table2[[#This Row],[Departemen]:[Unit]])</f>
        <v>Production &amp; Engineering/Production/WT/WWTP/Water Treatment</v>
      </c>
      <c r="M155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20-04-004-028</v>
      </c>
      <c r="N155" t="s">
        <v>514</v>
      </c>
      <c r="O155" t="str">
        <f>IFERROR(VLOOKUP(Table2[[#This Row],[Atasan]],Table2[[#All],[Hierarchy]:[Kode Posisi]],2,FALSE),"")</f>
        <v>20-04-004-027</v>
      </c>
      <c r="P155" t="s">
        <v>27</v>
      </c>
      <c r="S155" t="str">
        <f>IFERROR(VLOOKUP(Table2[[#This Row],[ID Karyawan]],[1]!Table4[[#All],[Nik]:[Placement]],37,FALSE),"")</f>
        <v/>
      </c>
      <c r="T155" t="s">
        <v>74</v>
      </c>
      <c r="U155" t="s">
        <v>79</v>
      </c>
      <c r="V155" t="s">
        <v>520</v>
      </c>
    </row>
    <row r="156" spans="1:22">
      <c r="A156" t="s">
        <v>521</v>
      </c>
      <c r="B156" t="s">
        <v>522</v>
      </c>
      <c r="C156" s="9">
        <v>36661</v>
      </c>
      <c r="D156">
        <f ca="1">IF(Table2[[#This Row],[Tgl Lahir]]="","Unknown",DATEDIF(Table2[[#This Row],[Tgl Lahir]],TODAY(),"Y"))</f>
        <v>26</v>
      </c>
      <c r="E156" s="9">
        <v>46107</v>
      </c>
      <c r="F156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6 bulan</v>
      </c>
      <c r="G156" t="s">
        <v>523</v>
      </c>
      <c r="H156" t="s">
        <v>61</v>
      </c>
      <c r="I156" t="s">
        <v>68</v>
      </c>
      <c r="J156" t="s">
        <v>493</v>
      </c>
      <c r="K156" t="s">
        <v>524</v>
      </c>
      <c r="L156" t="str">
        <f>_xlfn.TEXTJOIN("/",TRUE,Table2[[#This Row],[Departemen]:[Unit]])</f>
        <v>Production &amp; Engineering/Production/WT/WWTP/WWTP</v>
      </c>
      <c r="M156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20-04-004-029</v>
      </c>
      <c r="N156" t="s">
        <v>514</v>
      </c>
      <c r="O156" t="str">
        <f>IFERROR(VLOOKUP(Table2[[#This Row],[Atasan]],Table2[[#All],[Hierarchy]:[Kode Posisi]],2,FALSE),"")</f>
        <v>20-04-004-027</v>
      </c>
      <c r="P156" t="s">
        <v>27</v>
      </c>
      <c r="S156" t="str">
        <f>IFERROR(VLOOKUP(Table2[[#This Row],[ID Karyawan]],[1]!Table4[[#All],[Nik]:[Placement]],37,FALSE),"")</f>
        <v/>
      </c>
      <c r="T156" t="s">
        <v>41</v>
      </c>
      <c r="U156" t="s">
        <v>24</v>
      </c>
      <c r="V156" t="s">
        <v>24</v>
      </c>
    </row>
    <row r="157" spans="1:22">
      <c r="A157" t="s">
        <v>525</v>
      </c>
      <c r="B157" t="s">
        <v>526</v>
      </c>
      <c r="C157" s="9">
        <v>26470</v>
      </c>
      <c r="D157">
        <f ca="1">IF(Table2[[#This Row],[Tgl Lahir]]="","Unknown",DATEDIF(Table2[[#This Row],[Tgl Lahir]],TODAY(),"Y"))</f>
        <v>54</v>
      </c>
      <c r="E157" s="9">
        <v>33756</v>
      </c>
      <c r="F157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34 tahun 4 bulan</v>
      </c>
      <c r="G157" t="s">
        <v>87</v>
      </c>
      <c r="H157" t="s">
        <v>61</v>
      </c>
      <c r="I157" t="s">
        <v>68</v>
      </c>
      <c r="J157" t="s">
        <v>493</v>
      </c>
      <c r="K157" t="s">
        <v>524</v>
      </c>
      <c r="L157" t="str">
        <f>_xlfn.TEXTJOIN("/",TRUE,Table2[[#This Row],[Departemen]:[Unit]])</f>
        <v>Production &amp; Engineering/Production/WT/WWTP/WWTP</v>
      </c>
      <c r="M157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20-04-004-029</v>
      </c>
      <c r="N157" t="s">
        <v>514</v>
      </c>
      <c r="O157" t="str">
        <f>IFERROR(VLOOKUP(Table2[[#This Row],[Atasan]],Table2[[#All],[Hierarchy]:[Kode Posisi]],2,FALSE),"")</f>
        <v>20-04-004-027</v>
      </c>
      <c r="P157" t="s">
        <v>27</v>
      </c>
      <c r="S157" t="str">
        <f>IFERROR(VLOOKUP(Table2[[#This Row],[ID Karyawan]],[1]!Table4[[#All],[Nik]:[Placement]],37,FALSE),"")</f>
        <v/>
      </c>
      <c r="T157" t="s">
        <v>74</v>
      </c>
      <c r="U157" t="s">
        <v>527</v>
      </c>
      <c r="V157" t="s">
        <v>528</v>
      </c>
    </row>
    <row r="158" spans="1:22">
      <c r="A158" t="s">
        <v>529</v>
      </c>
      <c r="B158" t="s">
        <v>530</v>
      </c>
      <c r="C158" s="9">
        <v>28073</v>
      </c>
      <c r="D158">
        <f ca="1">IF(Table2[[#This Row],[Tgl Lahir]]="","Unknown",DATEDIF(Table2[[#This Row],[Tgl Lahir]],TODAY(),"Y"))</f>
        <v>49</v>
      </c>
      <c r="E158" s="9">
        <v>35373</v>
      </c>
      <c r="F158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11 bulan</v>
      </c>
      <c r="G158" t="s">
        <v>87</v>
      </c>
      <c r="H158" t="s">
        <v>61</v>
      </c>
      <c r="I158" t="s">
        <v>68</v>
      </c>
      <c r="J158" t="s">
        <v>493</v>
      </c>
      <c r="K158" t="s">
        <v>524</v>
      </c>
      <c r="L158" t="str">
        <f>_xlfn.TEXTJOIN("/",TRUE,Table2[[#This Row],[Departemen]:[Unit]])</f>
        <v>Production &amp; Engineering/Production/WT/WWTP/WWTP</v>
      </c>
      <c r="M158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20-04-004-029</v>
      </c>
      <c r="N158" t="s">
        <v>514</v>
      </c>
      <c r="O158" t="str">
        <f>IFERROR(VLOOKUP(Table2[[#This Row],[Atasan]],Table2[[#All],[Hierarchy]:[Kode Posisi]],2,FALSE),"")</f>
        <v>20-04-004-027</v>
      </c>
      <c r="P158" t="s">
        <v>27</v>
      </c>
      <c r="S158" t="str">
        <f>IFERROR(VLOOKUP(Table2[[#This Row],[ID Karyawan]],[1]!Table4[[#All],[Nik]:[Placement]],37,FALSE),"")</f>
        <v/>
      </c>
      <c r="T158" t="s">
        <v>181</v>
      </c>
      <c r="U158">
        <v>0</v>
      </c>
      <c r="V158">
        <v>0</v>
      </c>
    </row>
    <row r="159" spans="1:22">
      <c r="A159" t="s">
        <v>531</v>
      </c>
      <c r="B159" t="s">
        <v>532</v>
      </c>
      <c r="C159" s="9">
        <v>31483</v>
      </c>
      <c r="D159">
        <f ca="1">IF(Table2[[#This Row],[Tgl Lahir]]="","Unknown",DATEDIF(Table2[[#This Row],[Tgl Lahir]],TODAY(),"Y"))</f>
        <v>40</v>
      </c>
      <c r="E159" s="9">
        <v>38412</v>
      </c>
      <c r="F159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21 tahun 7 bulan</v>
      </c>
      <c r="G159" t="s">
        <v>87</v>
      </c>
      <c r="H159" t="s">
        <v>61</v>
      </c>
      <c r="I159" t="s">
        <v>68</v>
      </c>
      <c r="J159" t="s">
        <v>493</v>
      </c>
      <c r="K159" t="s">
        <v>524</v>
      </c>
      <c r="L159" t="str">
        <f>_xlfn.TEXTJOIN("/",TRUE,Table2[[#This Row],[Departemen]:[Unit]])</f>
        <v>Production &amp; Engineering/Production/WT/WWTP/WWTP</v>
      </c>
      <c r="M159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20-04-004-029</v>
      </c>
      <c r="N159" t="s">
        <v>514</v>
      </c>
      <c r="O159" t="str">
        <f>IFERROR(VLOOKUP(Table2[[#This Row],[Atasan]],Table2[[#All],[Hierarchy]:[Kode Posisi]],2,FALSE),"")</f>
        <v>20-04-004-027</v>
      </c>
      <c r="P159" t="s">
        <v>27</v>
      </c>
      <c r="S159" t="str">
        <f>IFERROR(VLOOKUP(Table2[[#This Row],[ID Karyawan]],[1]!Table4[[#All],[Nik]:[Placement]],37,FALSE),"")</f>
        <v/>
      </c>
      <c r="T159" t="s">
        <v>74</v>
      </c>
      <c r="U159" t="s">
        <v>336</v>
      </c>
      <c r="V159">
        <v>0</v>
      </c>
    </row>
    <row r="160" spans="1:22">
      <c r="A160" t="s">
        <v>533</v>
      </c>
      <c r="B160" t="s">
        <v>534</v>
      </c>
      <c r="C160" s="9">
        <v>32003</v>
      </c>
      <c r="D160">
        <f ca="1">IF(Table2[[#This Row],[Tgl Lahir]]="","Unknown",DATEDIF(Table2[[#This Row],[Tgl Lahir]],TODAY(),"Y"))</f>
        <v>39</v>
      </c>
      <c r="E160" s="9">
        <v>40154</v>
      </c>
      <c r="F160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16 tahun 10 bulan</v>
      </c>
      <c r="G160" t="s">
        <v>87</v>
      </c>
      <c r="H160" t="s">
        <v>61</v>
      </c>
      <c r="I160" t="s">
        <v>68</v>
      </c>
      <c r="J160" t="s">
        <v>493</v>
      </c>
      <c r="K160" t="s">
        <v>524</v>
      </c>
      <c r="L160" t="str">
        <f>_xlfn.TEXTJOIN("/",TRUE,Table2[[#This Row],[Departemen]:[Unit]])</f>
        <v>Production &amp; Engineering/Production/WT/WWTP/WWTP</v>
      </c>
      <c r="M160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20-04-004-029</v>
      </c>
      <c r="N160" t="s">
        <v>514</v>
      </c>
      <c r="O160" t="str">
        <f>IFERROR(VLOOKUP(Table2[[#This Row],[Atasan]],Table2[[#All],[Hierarchy]:[Kode Posisi]],2,FALSE),"")</f>
        <v>20-04-004-027</v>
      </c>
      <c r="P160" t="s">
        <v>27</v>
      </c>
      <c r="S160" t="str">
        <f>IFERROR(VLOOKUP(Table2[[#This Row],[ID Karyawan]],[1]!Table4[[#All],[Nik]:[Placement]],37,FALSE),"")</f>
        <v/>
      </c>
      <c r="T160" t="s">
        <v>74</v>
      </c>
      <c r="U160" t="s">
        <v>535</v>
      </c>
      <c r="V160">
        <v>0</v>
      </c>
    </row>
    <row r="161" spans="1:22">
      <c r="A161" t="s">
        <v>536</v>
      </c>
      <c r="B161" t="s">
        <v>537</v>
      </c>
      <c r="C161" s="9">
        <v>34229</v>
      </c>
      <c r="D161">
        <f ca="1">IF(Table2[[#This Row],[Tgl Lahir]]="","Unknown",DATEDIF(Table2[[#This Row],[Tgl Lahir]],TODAY(),"Y"))</f>
        <v>33</v>
      </c>
      <c r="E161" s="9">
        <v>46163</v>
      </c>
      <c r="F161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bulan</v>
      </c>
      <c r="G161" t="s">
        <v>87</v>
      </c>
      <c r="H161" t="s">
        <v>61</v>
      </c>
      <c r="I161" t="s">
        <v>68</v>
      </c>
      <c r="J161" t="s">
        <v>493</v>
      </c>
      <c r="K161" t="s">
        <v>524</v>
      </c>
      <c r="L161" t="str">
        <f>_xlfn.TEXTJOIN("/",TRUE,Table2[[#This Row],[Departemen]:[Unit]])</f>
        <v>Production &amp; Engineering/Production/WT/WWTP/WWTP</v>
      </c>
      <c r="M161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20-04-004-029</v>
      </c>
      <c r="N161" t="s">
        <v>514</v>
      </c>
      <c r="O161" t="str">
        <f>IFERROR(VLOOKUP(Table2[[#This Row],[Atasan]],Table2[[#All],[Hierarchy]:[Kode Posisi]],2,FALSE),"")</f>
        <v>20-04-004-027</v>
      </c>
      <c r="P161" t="s">
        <v>27</v>
      </c>
      <c r="S161" t="str">
        <f>IFERROR(VLOOKUP(Table2[[#This Row],[ID Karyawan]],[1]!Table4[[#All],[Nik]:[Placement]],37,FALSE),"")</f>
        <v/>
      </c>
      <c r="T161" t="s">
        <v>231</v>
      </c>
      <c r="U161" t="s">
        <v>24</v>
      </c>
      <c r="V161" t="s">
        <v>24</v>
      </c>
    </row>
    <row r="162" spans="1:22">
      <c r="A162" t="s">
        <v>538</v>
      </c>
      <c r="B162" t="s">
        <v>539</v>
      </c>
      <c r="C162" s="9">
        <v>28282</v>
      </c>
      <c r="D162">
        <f ca="1">IF(Table2[[#This Row],[Tgl Lahir]]="","Unknown",DATEDIF(Table2[[#This Row],[Tgl Lahir]],TODAY(),"Y"))</f>
        <v>49</v>
      </c>
      <c r="E162" s="9">
        <v>35604</v>
      </c>
      <c r="F162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3 bulan</v>
      </c>
      <c r="G162" t="s">
        <v>540</v>
      </c>
      <c r="H162" t="s">
        <v>61</v>
      </c>
      <c r="I162" t="s">
        <v>68</v>
      </c>
      <c r="J162" t="s">
        <v>541</v>
      </c>
      <c r="L162" t="str">
        <f>_xlfn.TEXTJOIN("/",TRUE,Table2[[#This Row],[Departemen]:[Unit]])</f>
        <v>Production &amp; Engineering/Production/PIS</v>
      </c>
      <c r="M162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20-04-027-000</v>
      </c>
      <c r="N162" t="s">
        <v>73</v>
      </c>
      <c r="O162" t="str">
        <f>IFERROR(VLOOKUP(Table2[[#This Row],[Atasan]],Table2[[#All],[Hierarchy]:[Kode Posisi]],2,FALSE),"")</f>
        <v>20-04-000-000</v>
      </c>
      <c r="P162" t="s">
        <v>27</v>
      </c>
      <c r="S162" t="str">
        <f>IFERROR(VLOOKUP(Table2[[#This Row],[ID Karyawan]],[1]!Table4[[#All],[Nik]:[Placement]],37,FALSE),"")</f>
        <v/>
      </c>
      <c r="T162" t="s">
        <v>41</v>
      </c>
      <c r="U162" t="s">
        <v>542</v>
      </c>
      <c r="V162" t="s">
        <v>543</v>
      </c>
    </row>
    <row r="163" spans="1:22">
      <c r="A163" t="s">
        <v>544</v>
      </c>
      <c r="B163" t="s">
        <v>545</v>
      </c>
      <c r="C163" s="9">
        <v>30877</v>
      </c>
      <c r="D163">
        <f ca="1">IF(Table2[[#This Row],[Tgl Lahir]]="","Unknown",DATEDIF(Table2[[#This Row],[Tgl Lahir]],TODAY(),"Y"))</f>
        <v>42</v>
      </c>
      <c r="E163" s="9">
        <v>38019</v>
      </c>
      <c r="F163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22 tahun 8 bulan</v>
      </c>
      <c r="G163" t="s">
        <v>540</v>
      </c>
      <c r="H163" t="s">
        <v>61</v>
      </c>
      <c r="I163" t="s">
        <v>68</v>
      </c>
      <c r="J163" t="s">
        <v>541</v>
      </c>
      <c r="L163" t="str">
        <f>_xlfn.TEXTJOIN("/",TRUE,Table2[[#This Row],[Departemen]:[Unit]])</f>
        <v>Production &amp; Engineering/Production/PIS</v>
      </c>
      <c r="M163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20-04-027-000</v>
      </c>
      <c r="N163" t="s">
        <v>73</v>
      </c>
      <c r="O163" t="str">
        <f>IFERROR(VLOOKUP(Table2[[#This Row],[Atasan]],Table2[[#All],[Hierarchy]:[Kode Posisi]],2,FALSE),"")</f>
        <v>20-04-000-000</v>
      </c>
      <c r="P163" t="s">
        <v>27</v>
      </c>
      <c r="S163" t="str">
        <f>IFERROR(VLOOKUP(Table2[[#This Row],[ID Karyawan]],[1]!Table4[[#All],[Nik]:[Placement]],37,FALSE),"")</f>
        <v/>
      </c>
      <c r="T163" t="s">
        <v>546</v>
      </c>
      <c r="U163" t="s">
        <v>547</v>
      </c>
      <c r="V163" t="s">
        <v>548</v>
      </c>
    </row>
    <row r="164" spans="1:22">
      <c r="A164" t="s">
        <v>549</v>
      </c>
      <c r="B164" t="s">
        <v>550</v>
      </c>
      <c r="C164" s="9">
        <v>26642</v>
      </c>
      <c r="D164">
        <f ca="1">IF(Table2[[#This Row],[Tgl Lahir]]="","Unknown",DATEDIF(Table2[[#This Row],[Tgl Lahir]],TODAY(),"Y"))</f>
        <v>53</v>
      </c>
      <c r="E164" s="9">
        <v>35562</v>
      </c>
      <c r="F164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5 bulan</v>
      </c>
      <c r="G164" t="s">
        <v>551</v>
      </c>
      <c r="H164" t="s">
        <v>61</v>
      </c>
      <c r="I164" t="s">
        <v>552</v>
      </c>
      <c r="L164" t="str">
        <f>_xlfn.TEXTJOIN("/",TRUE,Table2[[#This Row],[Departemen]:[Unit]])</f>
        <v>Production &amp; Engineering/Engineering</v>
      </c>
      <c r="M164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20-05-000-000</v>
      </c>
      <c r="N164" t="s">
        <v>61</v>
      </c>
      <c r="O164" t="str">
        <f>IFERROR(VLOOKUP(Table2[[#This Row],[Atasan]],Table2[[#All],[Hierarchy]:[Kode Posisi]],2,FALSE),"")</f>
        <v>20-00-000-000</v>
      </c>
      <c r="P164" t="s">
        <v>27</v>
      </c>
      <c r="S164" t="str">
        <f>IFERROR(VLOOKUP(Table2[[#This Row],[ID Karyawan]],[1]!Table4[[#All],[Nik]:[Placement]],37,FALSE),"")</f>
        <v/>
      </c>
      <c r="T164" t="s">
        <v>121</v>
      </c>
      <c r="U164" t="s">
        <v>553</v>
      </c>
      <c r="V164" t="s">
        <v>554</v>
      </c>
    </row>
    <row r="165" spans="1:22">
      <c r="A165" t="s">
        <v>555</v>
      </c>
      <c r="B165" t="s">
        <v>556</v>
      </c>
      <c r="C165" s="9">
        <v>27459</v>
      </c>
      <c r="D165">
        <f ca="1">IF(Table2[[#This Row],[Tgl Lahir]]="","Unknown",DATEDIF(Table2[[#This Row],[Tgl Lahir]],TODAY(),"Y"))</f>
        <v>51</v>
      </c>
      <c r="E165" s="9">
        <v>35563</v>
      </c>
      <c r="F165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5 bulan</v>
      </c>
      <c r="G165" t="s">
        <v>551</v>
      </c>
      <c r="H165" t="s">
        <v>61</v>
      </c>
      <c r="I165" t="s">
        <v>552</v>
      </c>
      <c r="L165" t="str">
        <f>_xlfn.TEXTJOIN("/",TRUE,Table2[[#This Row],[Departemen]:[Unit]])</f>
        <v>Production &amp; Engineering/Engineering</v>
      </c>
      <c r="M165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20-05-000-000</v>
      </c>
      <c r="N165" t="s">
        <v>61</v>
      </c>
      <c r="O165" t="str">
        <f>IFERROR(VLOOKUP(Table2[[#This Row],[Atasan]],Table2[[#All],[Hierarchy]:[Kode Posisi]],2,FALSE),"")</f>
        <v>20-00-000-000</v>
      </c>
      <c r="P165" t="s">
        <v>27</v>
      </c>
      <c r="S165" t="str">
        <f>IFERROR(VLOOKUP(Table2[[#This Row],[ID Karyawan]],[1]!Table4[[#All],[Nik]:[Placement]],37,FALSE),"")</f>
        <v/>
      </c>
      <c r="T165" t="s">
        <v>121</v>
      </c>
      <c r="U165" t="s">
        <v>494</v>
      </c>
      <c r="V165" t="s">
        <v>557</v>
      </c>
    </row>
    <row r="166" spans="1:22">
      <c r="A166" t="s">
        <v>558</v>
      </c>
      <c r="B166" t="s">
        <v>559</v>
      </c>
      <c r="C166" s="9">
        <v>29071</v>
      </c>
      <c r="D166">
        <f ca="1">IF(Table2[[#This Row],[Tgl Lahir]]="","Unknown",DATEDIF(Table2[[#This Row],[Tgl Lahir]],TODAY(),"Y"))</f>
        <v>47</v>
      </c>
      <c r="E166" s="9">
        <v>38384</v>
      </c>
      <c r="F166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21 tahun 8 bulan</v>
      </c>
      <c r="G166" t="s">
        <v>71</v>
      </c>
      <c r="H166" t="s">
        <v>61</v>
      </c>
      <c r="I166" t="s">
        <v>552</v>
      </c>
      <c r="J166" t="s">
        <v>560</v>
      </c>
      <c r="L166" t="str">
        <f>_xlfn.TEXTJOIN("/",TRUE,Table2[[#This Row],[Departemen]:[Unit]])</f>
        <v>Production &amp; Engineering/Engineering/Maintenance &amp; Utility</v>
      </c>
      <c r="M166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20-05-005-000</v>
      </c>
      <c r="N166" t="s">
        <v>561</v>
      </c>
      <c r="O166" t="str">
        <f>IFERROR(VLOOKUP(Table2[[#This Row],[Atasan]],Table2[[#All],[Hierarchy]:[Kode Posisi]],2,FALSE),"")</f>
        <v>20-05-000-000</v>
      </c>
      <c r="P166" t="s">
        <v>27</v>
      </c>
      <c r="S166" t="str">
        <f>IFERROR(VLOOKUP(Table2[[#This Row],[ID Karyawan]],[1]!Table4[[#All],[Nik]:[Placement]],37,FALSE),"")</f>
        <v/>
      </c>
      <c r="T166" t="s">
        <v>41</v>
      </c>
      <c r="U166" t="s">
        <v>122</v>
      </c>
      <c r="V166" t="s">
        <v>562</v>
      </c>
    </row>
    <row r="167" spans="1:22">
      <c r="A167" t="s">
        <v>563</v>
      </c>
      <c r="B167" t="s">
        <v>564</v>
      </c>
      <c r="C167" s="9">
        <v>23660</v>
      </c>
      <c r="D167">
        <f ca="1">IF(Table2[[#This Row],[Tgl Lahir]]="","Unknown",DATEDIF(Table2[[#This Row],[Tgl Lahir]],TODAY(),"Y"))</f>
        <v>62</v>
      </c>
      <c r="E167" s="9">
        <v>44480</v>
      </c>
      <c r="F167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5 tahun 0 bulan</v>
      </c>
      <c r="G167" t="s">
        <v>71</v>
      </c>
      <c r="H167" t="s">
        <v>61</v>
      </c>
      <c r="I167" t="s">
        <v>552</v>
      </c>
      <c r="J167" t="s">
        <v>560</v>
      </c>
      <c r="L167" t="str">
        <f>_xlfn.TEXTJOIN("/",TRUE,Table2[[#This Row],[Departemen]:[Unit]])</f>
        <v>Production &amp; Engineering/Engineering/Maintenance &amp; Utility</v>
      </c>
      <c r="M167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20-05-005-000</v>
      </c>
      <c r="N167" t="s">
        <v>561</v>
      </c>
      <c r="O167" t="str">
        <f>IFERROR(VLOOKUP(Table2[[#This Row],[Atasan]],Table2[[#All],[Hierarchy]:[Kode Posisi]],2,FALSE),"")</f>
        <v>20-05-000-000</v>
      </c>
      <c r="P167" t="s">
        <v>27</v>
      </c>
      <c r="S167" t="str">
        <f>IFERROR(VLOOKUP(Table2[[#This Row],[ID Karyawan]],[1]!Table4[[#All],[Nik]:[Placement]],37,FALSE),"")</f>
        <v/>
      </c>
      <c r="T167" t="s">
        <v>181</v>
      </c>
      <c r="U167">
        <v>0</v>
      </c>
      <c r="V167">
        <v>0</v>
      </c>
    </row>
    <row r="168" spans="1:22">
      <c r="A168" t="s">
        <v>565</v>
      </c>
      <c r="B168" t="s">
        <v>566</v>
      </c>
      <c r="C168" s="9">
        <v>26730</v>
      </c>
      <c r="D168">
        <f ca="1">IF(Table2[[#This Row],[Tgl Lahir]]="","Unknown",DATEDIF(Table2[[#This Row],[Tgl Lahir]],TODAY(),"Y"))</f>
        <v>53</v>
      </c>
      <c r="E168" s="9">
        <v>35139</v>
      </c>
      <c r="F168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30 tahun 6 bulan</v>
      </c>
      <c r="G168" t="s">
        <v>77</v>
      </c>
      <c r="H168" t="s">
        <v>61</v>
      </c>
      <c r="I168" t="s">
        <v>552</v>
      </c>
      <c r="J168" t="s">
        <v>560</v>
      </c>
      <c r="K168" t="s">
        <v>567</v>
      </c>
      <c r="L168" t="str">
        <f>_xlfn.TEXTJOIN("/",TRUE,Table2[[#This Row],[Departemen]:[Unit]])</f>
        <v>Production &amp; Engineering/Engineering/Maintenance &amp; Utility/Maintenance</v>
      </c>
      <c r="M168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20-05-005-030</v>
      </c>
      <c r="N168" t="s">
        <v>568</v>
      </c>
      <c r="O168" t="str">
        <f>IFERROR(VLOOKUP(Table2[[#This Row],[Atasan]],Table2[[#All],[Hierarchy]:[Kode Posisi]],2,FALSE),"")</f>
        <v>20-05-005-000</v>
      </c>
      <c r="P168" t="s">
        <v>27</v>
      </c>
      <c r="S168" t="str">
        <f>IFERROR(VLOOKUP(Table2[[#This Row],[ID Karyawan]],[1]!Table4[[#All],[Nik]:[Placement]],37,FALSE),"")</f>
        <v/>
      </c>
      <c r="T168" t="s">
        <v>74</v>
      </c>
      <c r="U168" t="s">
        <v>569</v>
      </c>
      <c r="V168" t="s">
        <v>570</v>
      </c>
    </row>
    <row r="169" spans="1:22">
      <c r="A169" t="s">
        <v>571</v>
      </c>
      <c r="B169" t="s">
        <v>572</v>
      </c>
      <c r="C169" s="9">
        <v>27270</v>
      </c>
      <c r="D169">
        <f ca="1">IF(Table2[[#This Row],[Tgl Lahir]]="","Unknown",DATEDIF(Table2[[#This Row],[Tgl Lahir]],TODAY(),"Y"))</f>
        <v>52</v>
      </c>
      <c r="E169" s="9">
        <v>35143</v>
      </c>
      <c r="F169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30 tahun 6 bulan</v>
      </c>
      <c r="G169" t="s">
        <v>87</v>
      </c>
      <c r="H169" t="s">
        <v>61</v>
      </c>
      <c r="I169" t="s">
        <v>552</v>
      </c>
      <c r="J169" t="s">
        <v>560</v>
      </c>
      <c r="K169" t="s">
        <v>573</v>
      </c>
      <c r="L169" t="str">
        <f>_xlfn.TEXTJOIN("/",TRUE,Table2[[#This Row],[Departemen]:[Unit]])</f>
        <v>Production &amp; Engineering/Engineering/Maintenance &amp; Utility/Boiler</v>
      </c>
      <c r="M169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20-05-005-031</v>
      </c>
      <c r="N169" t="s">
        <v>574</v>
      </c>
      <c r="O169" t="str">
        <f>IFERROR(VLOOKUP(Table2[[#This Row],[Atasan]],Table2[[#All],[Hierarchy]:[Kode Posisi]],2,FALSE),"")</f>
        <v>20-05-005-035</v>
      </c>
      <c r="P169" t="s">
        <v>27</v>
      </c>
      <c r="S169" t="str">
        <f>IFERROR(VLOOKUP(Table2[[#This Row],[ID Karyawan]],[1]!Table4[[#All],[Nik]:[Placement]],37,FALSE),"")</f>
        <v/>
      </c>
      <c r="T169" t="s">
        <v>74</v>
      </c>
      <c r="U169" t="s">
        <v>575</v>
      </c>
      <c r="V169" t="s">
        <v>576</v>
      </c>
    </row>
    <row r="170" spans="1:22">
      <c r="A170" t="s">
        <v>577</v>
      </c>
      <c r="B170" t="s">
        <v>578</v>
      </c>
      <c r="C170" s="9">
        <v>28549</v>
      </c>
      <c r="D170">
        <f ca="1">IF(Table2[[#This Row],[Tgl Lahir]]="","Unknown",DATEDIF(Table2[[#This Row],[Tgl Lahir]],TODAY(),"Y"))</f>
        <v>48</v>
      </c>
      <c r="E170" s="9">
        <v>35342</v>
      </c>
      <c r="F170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30 tahun 0 bulan</v>
      </c>
      <c r="G170" t="s">
        <v>87</v>
      </c>
      <c r="H170" t="s">
        <v>61</v>
      </c>
      <c r="I170" t="s">
        <v>552</v>
      </c>
      <c r="J170" t="s">
        <v>560</v>
      </c>
      <c r="K170" t="s">
        <v>573</v>
      </c>
      <c r="L170" t="str">
        <f>_xlfn.TEXTJOIN("/",TRUE,Table2[[#This Row],[Departemen]:[Unit]])</f>
        <v>Production &amp; Engineering/Engineering/Maintenance &amp; Utility/Boiler</v>
      </c>
      <c r="M170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20-05-005-031</v>
      </c>
      <c r="N170" t="s">
        <v>574</v>
      </c>
      <c r="O170" t="str">
        <f>IFERROR(VLOOKUP(Table2[[#This Row],[Atasan]],Table2[[#All],[Hierarchy]:[Kode Posisi]],2,FALSE),"")</f>
        <v>20-05-005-035</v>
      </c>
      <c r="P170" t="s">
        <v>27</v>
      </c>
      <c r="S170" t="str">
        <f>IFERROR(VLOOKUP(Table2[[#This Row],[ID Karyawan]],[1]!Table4[[#All],[Nik]:[Placement]],37,FALSE),"")</f>
        <v/>
      </c>
      <c r="T170" t="s">
        <v>74</v>
      </c>
      <c r="U170" t="s">
        <v>427</v>
      </c>
      <c r="V170" t="s">
        <v>579</v>
      </c>
    </row>
    <row r="171" spans="1:22">
      <c r="A171" t="s">
        <v>580</v>
      </c>
      <c r="B171" t="s">
        <v>581</v>
      </c>
      <c r="C171" s="9">
        <v>28345</v>
      </c>
      <c r="D171">
        <f ca="1">IF(Table2[[#This Row],[Tgl Lahir]]="","Unknown",DATEDIF(Table2[[#This Row],[Tgl Lahir]],TODAY(),"Y"))</f>
        <v>49</v>
      </c>
      <c r="E171" s="9">
        <v>35405</v>
      </c>
      <c r="F171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10 bulan</v>
      </c>
      <c r="G171" t="s">
        <v>87</v>
      </c>
      <c r="H171" t="s">
        <v>61</v>
      </c>
      <c r="I171" t="s">
        <v>552</v>
      </c>
      <c r="J171" t="s">
        <v>560</v>
      </c>
      <c r="K171" t="s">
        <v>573</v>
      </c>
      <c r="L171" t="str">
        <f>_xlfn.TEXTJOIN("/",TRUE,Table2[[#This Row],[Departemen]:[Unit]])</f>
        <v>Production &amp; Engineering/Engineering/Maintenance &amp; Utility/Boiler</v>
      </c>
      <c r="M171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20-05-005-031</v>
      </c>
      <c r="N171" t="s">
        <v>574</v>
      </c>
      <c r="O171" t="str">
        <f>IFERROR(VLOOKUP(Table2[[#This Row],[Atasan]],Table2[[#All],[Hierarchy]:[Kode Posisi]],2,FALSE),"")</f>
        <v>20-05-005-035</v>
      </c>
      <c r="P171" t="s">
        <v>27</v>
      </c>
      <c r="S171" t="str">
        <f>IFERROR(VLOOKUP(Table2[[#This Row],[ID Karyawan]],[1]!Table4[[#All],[Nik]:[Placement]],37,FALSE),"")</f>
        <v/>
      </c>
      <c r="T171" t="s">
        <v>74</v>
      </c>
      <c r="U171" t="s">
        <v>299</v>
      </c>
      <c r="V171" t="s">
        <v>582</v>
      </c>
    </row>
    <row r="172" spans="1:22">
      <c r="A172" t="s">
        <v>583</v>
      </c>
      <c r="B172" t="s">
        <v>584</v>
      </c>
      <c r="C172" s="9">
        <v>27905</v>
      </c>
      <c r="D172">
        <f ca="1">IF(Table2[[#This Row],[Tgl Lahir]]="","Unknown",DATEDIF(Table2[[#This Row],[Tgl Lahir]],TODAY(),"Y"))</f>
        <v>50</v>
      </c>
      <c r="E172" s="9">
        <v>35446</v>
      </c>
      <c r="F172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8 bulan</v>
      </c>
      <c r="G172" t="s">
        <v>87</v>
      </c>
      <c r="H172" t="s">
        <v>61</v>
      </c>
      <c r="I172" t="s">
        <v>552</v>
      </c>
      <c r="J172" t="s">
        <v>560</v>
      </c>
      <c r="K172" t="s">
        <v>573</v>
      </c>
      <c r="L172" t="str">
        <f>_xlfn.TEXTJOIN("/",TRUE,Table2[[#This Row],[Departemen]:[Unit]])</f>
        <v>Production &amp; Engineering/Engineering/Maintenance &amp; Utility/Boiler</v>
      </c>
      <c r="M172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20-05-005-031</v>
      </c>
      <c r="N172" t="s">
        <v>574</v>
      </c>
      <c r="O172" t="str">
        <f>IFERROR(VLOOKUP(Table2[[#This Row],[Atasan]],Table2[[#All],[Hierarchy]:[Kode Posisi]],2,FALSE),"")</f>
        <v>20-05-005-035</v>
      </c>
      <c r="P172" t="s">
        <v>27</v>
      </c>
      <c r="S172" t="str">
        <f>IFERROR(VLOOKUP(Table2[[#This Row],[ID Karyawan]],[1]!Table4[[#All],[Nik]:[Placement]],37,FALSE),"")</f>
        <v/>
      </c>
      <c r="T172" t="s">
        <v>74</v>
      </c>
      <c r="U172" t="s">
        <v>79</v>
      </c>
      <c r="V172" t="s">
        <v>585</v>
      </c>
    </row>
    <row r="173" spans="1:22">
      <c r="A173" t="s">
        <v>586</v>
      </c>
      <c r="B173" t="s">
        <v>587</v>
      </c>
      <c r="C173" s="9">
        <v>31016</v>
      </c>
      <c r="D173">
        <f ca="1">IF(Table2[[#This Row],[Tgl Lahir]]="","Unknown",DATEDIF(Table2[[#This Row],[Tgl Lahir]],TODAY(),"Y"))</f>
        <v>41</v>
      </c>
      <c r="E173" s="9">
        <v>40189</v>
      </c>
      <c r="F173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16 tahun 9 bulan</v>
      </c>
      <c r="G173" t="s">
        <v>87</v>
      </c>
      <c r="H173" t="s">
        <v>61</v>
      </c>
      <c r="I173" t="s">
        <v>552</v>
      </c>
      <c r="J173" t="s">
        <v>560</v>
      </c>
      <c r="K173" t="s">
        <v>573</v>
      </c>
      <c r="L173" t="str">
        <f>_xlfn.TEXTJOIN("/",TRUE,Table2[[#This Row],[Departemen]:[Unit]])</f>
        <v>Production &amp; Engineering/Engineering/Maintenance &amp; Utility/Boiler</v>
      </c>
      <c r="M173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20-05-005-031</v>
      </c>
      <c r="N173" t="s">
        <v>574</v>
      </c>
      <c r="O173" t="str">
        <f>IFERROR(VLOOKUP(Table2[[#This Row],[Atasan]],Table2[[#All],[Hierarchy]:[Kode Posisi]],2,FALSE),"")</f>
        <v>20-05-005-035</v>
      </c>
      <c r="P173" t="s">
        <v>27</v>
      </c>
      <c r="S173" t="str">
        <f>IFERROR(VLOOKUP(Table2[[#This Row],[ID Karyawan]],[1]!Table4[[#All],[Nik]:[Placement]],37,FALSE),"")</f>
        <v/>
      </c>
      <c r="T173" t="s">
        <v>74</v>
      </c>
      <c r="U173" t="s">
        <v>535</v>
      </c>
      <c r="V173" t="s">
        <v>588</v>
      </c>
    </row>
    <row r="174" spans="1:22">
      <c r="A174" t="s">
        <v>589</v>
      </c>
      <c r="B174" t="s">
        <v>590</v>
      </c>
      <c r="C174" s="9">
        <v>25830</v>
      </c>
      <c r="D174">
        <f ca="1">IF(Table2[[#This Row],[Tgl Lahir]]="","Unknown",DATEDIF(Table2[[#This Row],[Tgl Lahir]],TODAY(),"Y"))</f>
        <v>56</v>
      </c>
      <c r="E174" s="9">
        <v>35446</v>
      </c>
      <c r="F174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8 bulan</v>
      </c>
      <c r="G174" t="s">
        <v>87</v>
      </c>
      <c r="H174" t="s">
        <v>61</v>
      </c>
      <c r="I174" t="s">
        <v>552</v>
      </c>
      <c r="J174" t="s">
        <v>560</v>
      </c>
      <c r="K174" t="s">
        <v>591</v>
      </c>
      <c r="L174" t="str">
        <f>_xlfn.TEXTJOIN("/",TRUE,Table2[[#This Row],[Departemen]:[Unit]])</f>
        <v>Production &amp; Engineering/Engineering/Maintenance &amp; Utility/Cooling System</v>
      </c>
      <c r="M174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20-05-005-032</v>
      </c>
      <c r="N174" t="s">
        <v>574</v>
      </c>
      <c r="O174" t="str">
        <f>IFERROR(VLOOKUP(Table2[[#This Row],[Atasan]],Table2[[#All],[Hierarchy]:[Kode Posisi]],2,FALSE),"")</f>
        <v>20-05-005-035</v>
      </c>
      <c r="P174" t="s">
        <v>27</v>
      </c>
      <c r="S174" t="str">
        <f>IFERROR(VLOOKUP(Table2[[#This Row],[ID Karyawan]],[1]!Table4[[#All],[Nik]:[Placement]],37,FALSE),"")</f>
        <v/>
      </c>
      <c r="T174" t="s">
        <v>74</v>
      </c>
      <c r="U174" t="s">
        <v>592</v>
      </c>
      <c r="V174">
        <v>0</v>
      </c>
    </row>
    <row r="175" spans="1:22">
      <c r="A175" t="s">
        <v>593</v>
      </c>
      <c r="B175" t="s">
        <v>594</v>
      </c>
      <c r="C175" s="9">
        <v>27772</v>
      </c>
      <c r="D175">
        <f ca="1">IF(Table2[[#This Row],[Tgl Lahir]]="","Unknown",DATEDIF(Table2[[#This Row],[Tgl Lahir]],TODAY(),"Y"))</f>
        <v>50</v>
      </c>
      <c r="E175" s="9">
        <v>35450</v>
      </c>
      <c r="F175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8 bulan</v>
      </c>
      <c r="G175" t="s">
        <v>87</v>
      </c>
      <c r="H175" t="s">
        <v>61</v>
      </c>
      <c r="I175" t="s">
        <v>552</v>
      </c>
      <c r="J175" t="s">
        <v>560</v>
      </c>
      <c r="K175" t="s">
        <v>591</v>
      </c>
      <c r="L175" t="str">
        <f>_xlfn.TEXTJOIN("/",TRUE,Table2[[#This Row],[Departemen]:[Unit]])</f>
        <v>Production &amp; Engineering/Engineering/Maintenance &amp; Utility/Cooling System</v>
      </c>
      <c r="M175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20-05-005-032</v>
      </c>
      <c r="N175" t="s">
        <v>574</v>
      </c>
      <c r="O175" t="str">
        <f>IFERROR(VLOOKUP(Table2[[#This Row],[Atasan]],Table2[[#All],[Hierarchy]:[Kode Posisi]],2,FALSE),"")</f>
        <v>20-05-005-035</v>
      </c>
      <c r="P175" t="s">
        <v>27</v>
      </c>
      <c r="S175" t="str">
        <f>IFERROR(VLOOKUP(Table2[[#This Row],[ID Karyawan]],[1]!Table4[[#All],[Nik]:[Placement]],37,FALSE),"")</f>
        <v/>
      </c>
      <c r="T175" t="s">
        <v>74</v>
      </c>
      <c r="U175" t="s">
        <v>595</v>
      </c>
      <c r="V175" t="s">
        <v>596</v>
      </c>
    </row>
    <row r="176" spans="1:22">
      <c r="A176" t="s">
        <v>597</v>
      </c>
      <c r="B176" t="s">
        <v>598</v>
      </c>
      <c r="C176" s="9">
        <v>35256</v>
      </c>
      <c r="D176">
        <f ca="1">IF(Table2[[#This Row],[Tgl Lahir]]="","Unknown",DATEDIF(Table2[[#This Row],[Tgl Lahir]],TODAY(),"Y"))</f>
        <v>30</v>
      </c>
      <c r="E176" s="9">
        <v>45839</v>
      </c>
      <c r="F176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 tahun 3 bulan</v>
      </c>
      <c r="G176" t="s">
        <v>87</v>
      </c>
      <c r="H176" t="s">
        <v>61</v>
      </c>
      <c r="I176" t="s">
        <v>552</v>
      </c>
      <c r="J176" t="s">
        <v>560</v>
      </c>
      <c r="K176" t="s">
        <v>591</v>
      </c>
      <c r="L176" t="str">
        <f>_xlfn.TEXTJOIN("/",TRUE,Table2[[#This Row],[Departemen]:[Unit]])</f>
        <v>Production &amp; Engineering/Engineering/Maintenance &amp; Utility/Cooling System</v>
      </c>
      <c r="M176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20-05-005-032</v>
      </c>
      <c r="N176" t="s">
        <v>574</v>
      </c>
      <c r="O176" t="str">
        <f>IFERROR(VLOOKUP(Table2[[#This Row],[Atasan]],Table2[[#All],[Hierarchy]:[Kode Posisi]],2,FALSE),"")</f>
        <v>20-05-005-035</v>
      </c>
      <c r="P176" t="s">
        <v>27</v>
      </c>
      <c r="S176" t="str">
        <f>IFERROR(VLOOKUP(Table2[[#This Row],[ID Karyawan]],[1]!Table4[[#All],[Nik]:[Placement]],37,FALSE),"")</f>
        <v/>
      </c>
      <c r="T176" t="s">
        <v>74</v>
      </c>
      <c r="U176" t="s">
        <v>24</v>
      </c>
      <c r="V176" t="s">
        <v>24</v>
      </c>
    </row>
    <row r="177" spans="1:22">
      <c r="A177" t="s">
        <v>599</v>
      </c>
      <c r="B177" t="s">
        <v>600</v>
      </c>
      <c r="C177" s="9">
        <v>28455</v>
      </c>
      <c r="D177">
        <f ca="1">IF(Table2[[#This Row],[Tgl Lahir]]="","Unknown",DATEDIF(Table2[[#This Row],[Tgl Lahir]],TODAY(),"Y"))</f>
        <v>48</v>
      </c>
      <c r="E177" s="9">
        <v>35408</v>
      </c>
      <c r="F177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10 bulan</v>
      </c>
      <c r="G177" t="s">
        <v>87</v>
      </c>
      <c r="H177" t="s">
        <v>61</v>
      </c>
      <c r="I177" t="s">
        <v>552</v>
      </c>
      <c r="J177" t="s">
        <v>560</v>
      </c>
      <c r="K177" t="s">
        <v>601</v>
      </c>
      <c r="L177" t="str">
        <f>_xlfn.TEXTJOIN("/",TRUE,Table2[[#This Row],[Departemen]:[Unit]])</f>
        <v>Production &amp; Engineering/Engineering/Maintenance &amp; Utility/Incenerator</v>
      </c>
      <c r="M177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20-05-005-033</v>
      </c>
      <c r="N177" t="s">
        <v>574</v>
      </c>
      <c r="O177" t="str">
        <f>IFERROR(VLOOKUP(Table2[[#This Row],[Atasan]],Table2[[#All],[Hierarchy]:[Kode Posisi]],2,FALSE),"")</f>
        <v>20-05-005-035</v>
      </c>
      <c r="P177" t="s">
        <v>27</v>
      </c>
      <c r="S177" t="str">
        <f>IFERROR(VLOOKUP(Table2[[#This Row],[ID Karyawan]],[1]!Table4[[#All],[Nik]:[Placement]],37,FALSE),"")</f>
        <v/>
      </c>
      <c r="T177" t="s">
        <v>74</v>
      </c>
      <c r="U177">
        <v>0</v>
      </c>
      <c r="V177">
        <v>0</v>
      </c>
    </row>
    <row r="178" spans="1:22">
      <c r="A178" t="s">
        <v>602</v>
      </c>
      <c r="B178" t="s">
        <v>603</v>
      </c>
      <c r="C178" s="9">
        <v>27091</v>
      </c>
      <c r="D178">
        <f ca="1">IF(Table2[[#This Row],[Tgl Lahir]]="","Unknown",DATEDIF(Table2[[#This Row],[Tgl Lahir]],TODAY(),"Y"))</f>
        <v>52</v>
      </c>
      <c r="E178" s="9">
        <v>35446</v>
      </c>
      <c r="F178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8 bulan</v>
      </c>
      <c r="G178" t="s">
        <v>87</v>
      </c>
      <c r="H178" t="s">
        <v>61</v>
      </c>
      <c r="I178" t="s">
        <v>552</v>
      </c>
      <c r="J178" t="s">
        <v>560</v>
      </c>
      <c r="K178" t="s">
        <v>601</v>
      </c>
      <c r="L178" t="str">
        <f>_xlfn.TEXTJOIN("/",TRUE,Table2[[#This Row],[Departemen]:[Unit]])</f>
        <v>Production &amp; Engineering/Engineering/Maintenance &amp; Utility/Incenerator</v>
      </c>
      <c r="M178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20-05-005-033</v>
      </c>
      <c r="N178" t="s">
        <v>574</v>
      </c>
      <c r="O178" t="str">
        <f>IFERROR(VLOOKUP(Table2[[#This Row],[Atasan]],Table2[[#All],[Hierarchy]:[Kode Posisi]],2,FALSE),"")</f>
        <v>20-05-005-035</v>
      </c>
      <c r="P178" t="s">
        <v>27</v>
      </c>
      <c r="S178" t="str">
        <f>IFERROR(VLOOKUP(Table2[[#This Row],[ID Karyawan]],[1]!Table4[[#All],[Nik]:[Placement]],37,FALSE),"")</f>
        <v/>
      </c>
      <c r="T178" t="s">
        <v>74</v>
      </c>
      <c r="U178" t="s">
        <v>604</v>
      </c>
      <c r="V178" t="s">
        <v>79</v>
      </c>
    </row>
    <row r="179" spans="1:22">
      <c r="A179" t="s">
        <v>605</v>
      </c>
      <c r="B179" t="s">
        <v>606</v>
      </c>
      <c r="C179" s="9">
        <v>28112</v>
      </c>
      <c r="D179">
        <f ca="1">IF(Table2[[#This Row],[Tgl Lahir]]="","Unknown",DATEDIF(Table2[[#This Row],[Tgl Lahir]],TODAY(),"Y"))</f>
        <v>49</v>
      </c>
      <c r="E179" s="9">
        <v>35528</v>
      </c>
      <c r="F179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6 bulan</v>
      </c>
      <c r="G179" t="s">
        <v>87</v>
      </c>
      <c r="H179" t="s">
        <v>61</v>
      </c>
      <c r="I179" t="s">
        <v>552</v>
      </c>
      <c r="J179" t="s">
        <v>560</v>
      </c>
      <c r="K179" t="s">
        <v>601</v>
      </c>
      <c r="L179" t="str">
        <f>_xlfn.TEXTJOIN("/",TRUE,Table2[[#This Row],[Departemen]:[Unit]])</f>
        <v>Production &amp; Engineering/Engineering/Maintenance &amp; Utility/Incenerator</v>
      </c>
      <c r="M179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20-05-005-033</v>
      </c>
      <c r="N179" t="s">
        <v>574</v>
      </c>
      <c r="O179" t="str">
        <f>IFERROR(VLOOKUP(Table2[[#This Row],[Atasan]],Table2[[#All],[Hierarchy]:[Kode Posisi]],2,FALSE),"")</f>
        <v>20-05-005-035</v>
      </c>
      <c r="P179" t="s">
        <v>27</v>
      </c>
      <c r="S179" t="str">
        <f>IFERROR(VLOOKUP(Table2[[#This Row],[ID Karyawan]],[1]!Table4[[#All],[Nik]:[Placement]],37,FALSE),"")</f>
        <v/>
      </c>
      <c r="T179" t="s">
        <v>74</v>
      </c>
      <c r="U179" t="s">
        <v>607</v>
      </c>
      <c r="V179">
        <v>0</v>
      </c>
    </row>
    <row r="180" spans="1:22">
      <c r="A180" t="s">
        <v>608</v>
      </c>
      <c r="B180" t="s">
        <v>609</v>
      </c>
      <c r="C180" s="9">
        <v>30769</v>
      </c>
      <c r="D180">
        <f ca="1">IF(Table2[[#This Row],[Tgl Lahir]]="","Unknown",DATEDIF(Table2[[#This Row],[Tgl Lahir]],TODAY(),"Y"))</f>
        <v>42</v>
      </c>
      <c r="E180" s="9">
        <v>37928</v>
      </c>
      <c r="F180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22 tahun 11 bulan</v>
      </c>
      <c r="G180" t="s">
        <v>87</v>
      </c>
      <c r="H180" t="s">
        <v>61</v>
      </c>
      <c r="I180" t="s">
        <v>552</v>
      </c>
      <c r="J180" t="s">
        <v>560</v>
      </c>
      <c r="K180" t="s">
        <v>601</v>
      </c>
      <c r="L180" t="str">
        <f>_xlfn.TEXTJOIN("/",TRUE,Table2[[#This Row],[Departemen]:[Unit]])</f>
        <v>Production &amp; Engineering/Engineering/Maintenance &amp; Utility/Incenerator</v>
      </c>
      <c r="M180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20-05-005-033</v>
      </c>
      <c r="N180" t="s">
        <v>574</v>
      </c>
      <c r="O180" t="str">
        <f>IFERROR(VLOOKUP(Table2[[#This Row],[Atasan]],Table2[[#All],[Hierarchy]:[Kode Posisi]],2,FALSE),"")</f>
        <v>20-05-005-035</v>
      </c>
      <c r="P180" t="s">
        <v>27</v>
      </c>
      <c r="S180" t="str">
        <f>IFERROR(VLOOKUP(Table2[[#This Row],[ID Karyawan]],[1]!Table4[[#All],[Nik]:[Placement]],37,FALSE),"")</f>
        <v/>
      </c>
      <c r="T180" t="s">
        <v>74</v>
      </c>
      <c r="U180" t="s">
        <v>610</v>
      </c>
      <c r="V180" t="s">
        <v>611</v>
      </c>
    </row>
    <row r="181" spans="1:22">
      <c r="A181" t="s">
        <v>612</v>
      </c>
      <c r="B181" t="s">
        <v>613</v>
      </c>
      <c r="C181" s="9">
        <v>30833</v>
      </c>
      <c r="D181">
        <f ca="1">IF(Table2[[#This Row],[Tgl Lahir]]="","Unknown",DATEDIF(Table2[[#This Row],[Tgl Lahir]],TODAY(),"Y"))</f>
        <v>42</v>
      </c>
      <c r="E181" s="9">
        <v>39748</v>
      </c>
      <c r="F181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17 tahun 11 bulan</v>
      </c>
      <c r="G181" t="s">
        <v>87</v>
      </c>
      <c r="H181" t="s">
        <v>61</v>
      </c>
      <c r="I181" t="s">
        <v>552</v>
      </c>
      <c r="J181" t="s">
        <v>560</v>
      </c>
      <c r="K181" t="s">
        <v>601</v>
      </c>
      <c r="L181" t="str">
        <f>_xlfn.TEXTJOIN("/",TRUE,Table2[[#This Row],[Departemen]:[Unit]])</f>
        <v>Production &amp; Engineering/Engineering/Maintenance &amp; Utility/Incenerator</v>
      </c>
      <c r="M181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20-05-005-033</v>
      </c>
      <c r="N181" t="s">
        <v>574</v>
      </c>
      <c r="O181" t="str">
        <f>IFERROR(VLOOKUP(Table2[[#This Row],[Atasan]],Table2[[#All],[Hierarchy]:[Kode Posisi]],2,FALSE),"")</f>
        <v>20-05-005-035</v>
      </c>
      <c r="P181" t="s">
        <v>27</v>
      </c>
      <c r="S181" t="str">
        <f>IFERROR(VLOOKUP(Table2[[#This Row],[ID Karyawan]],[1]!Table4[[#All],[Nik]:[Placement]],37,FALSE),"")</f>
        <v/>
      </c>
      <c r="T181" t="s">
        <v>74</v>
      </c>
      <c r="U181" t="s">
        <v>614</v>
      </c>
      <c r="V181">
        <v>0</v>
      </c>
    </row>
    <row r="182" spans="1:22">
      <c r="A182" t="s">
        <v>615</v>
      </c>
      <c r="B182" t="s">
        <v>616</v>
      </c>
      <c r="C182" s="9">
        <v>33450</v>
      </c>
      <c r="D182">
        <f ca="1">IF(Table2[[#This Row],[Tgl Lahir]]="","Unknown",DATEDIF(Table2[[#This Row],[Tgl Lahir]],TODAY(),"Y"))</f>
        <v>35</v>
      </c>
      <c r="E182" s="9">
        <v>43525</v>
      </c>
      <c r="F182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7 tahun 7 bulan</v>
      </c>
      <c r="G182" t="s">
        <v>87</v>
      </c>
      <c r="H182" t="s">
        <v>61</v>
      </c>
      <c r="I182" t="s">
        <v>552</v>
      </c>
      <c r="J182" t="s">
        <v>560</v>
      </c>
      <c r="K182" t="s">
        <v>601</v>
      </c>
      <c r="L182" t="str">
        <f>_xlfn.TEXTJOIN("/",TRUE,Table2[[#This Row],[Departemen]:[Unit]])</f>
        <v>Production &amp; Engineering/Engineering/Maintenance &amp; Utility/Incenerator</v>
      </c>
      <c r="M182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20-05-005-033</v>
      </c>
      <c r="N182" t="s">
        <v>574</v>
      </c>
      <c r="O182" t="str">
        <f>IFERROR(VLOOKUP(Table2[[#This Row],[Atasan]],Table2[[#All],[Hierarchy]:[Kode Posisi]],2,FALSE),"")</f>
        <v>20-05-005-035</v>
      </c>
      <c r="P182" t="s">
        <v>27</v>
      </c>
      <c r="S182" t="str">
        <f>IFERROR(VLOOKUP(Table2[[#This Row],[ID Karyawan]],[1]!Table4[[#All],[Nik]:[Placement]],37,FALSE),"")</f>
        <v/>
      </c>
      <c r="T182" t="s">
        <v>74</v>
      </c>
      <c r="U182" t="s">
        <v>617</v>
      </c>
      <c r="V182">
        <v>0</v>
      </c>
    </row>
    <row r="183" spans="1:22">
      <c r="A183" t="s">
        <v>618</v>
      </c>
      <c r="B183" t="s">
        <v>619</v>
      </c>
      <c r="C183" s="9">
        <v>33575</v>
      </c>
      <c r="D183">
        <f ca="1">IF(Table2[[#This Row],[Tgl Lahir]]="","Unknown",DATEDIF(Table2[[#This Row],[Tgl Lahir]],TODAY(),"Y"))</f>
        <v>34</v>
      </c>
      <c r="E183" s="9">
        <v>43525</v>
      </c>
      <c r="F183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7 tahun 7 bulan</v>
      </c>
      <c r="G183" t="s">
        <v>87</v>
      </c>
      <c r="H183" t="s">
        <v>61</v>
      </c>
      <c r="I183" t="s">
        <v>552</v>
      </c>
      <c r="J183" t="s">
        <v>560</v>
      </c>
      <c r="K183" t="s">
        <v>601</v>
      </c>
      <c r="L183" t="str">
        <f>_xlfn.TEXTJOIN("/",TRUE,Table2[[#This Row],[Departemen]:[Unit]])</f>
        <v>Production &amp; Engineering/Engineering/Maintenance &amp; Utility/Incenerator</v>
      </c>
      <c r="M183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20-05-005-033</v>
      </c>
      <c r="N183" t="s">
        <v>574</v>
      </c>
      <c r="O183" t="str">
        <f>IFERROR(VLOOKUP(Table2[[#This Row],[Atasan]],Table2[[#All],[Hierarchy]:[Kode Posisi]],2,FALSE),"")</f>
        <v>20-05-005-035</v>
      </c>
      <c r="P183" t="s">
        <v>27</v>
      </c>
      <c r="S183" t="str">
        <f>IFERROR(VLOOKUP(Table2[[#This Row],[ID Karyawan]],[1]!Table4[[#All],[Nik]:[Placement]],37,FALSE),"")</f>
        <v/>
      </c>
      <c r="T183" t="s">
        <v>74</v>
      </c>
      <c r="U183" t="s">
        <v>427</v>
      </c>
      <c r="V183" t="s">
        <v>620</v>
      </c>
    </row>
    <row r="184" spans="1:22">
      <c r="A184" t="s">
        <v>621</v>
      </c>
      <c r="B184" t="s">
        <v>622</v>
      </c>
      <c r="C184" s="9">
        <v>34189</v>
      </c>
      <c r="D184">
        <f ca="1">IF(Table2[[#This Row],[Tgl Lahir]]="","Unknown",DATEDIF(Table2[[#This Row],[Tgl Lahir]],TODAY(),"Y"))</f>
        <v>33</v>
      </c>
      <c r="E184" s="9">
        <v>43525</v>
      </c>
      <c r="F184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7 tahun 7 bulan</v>
      </c>
      <c r="G184" t="s">
        <v>87</v>
      </c>
      <c r="H184" t="s">
        <v>61</v>
      </c>
      <c r="I184" t="s">
        <v>552</v>
      </c>
      <c r="J184" t="s">
        <v>560</v>
      </c>
      <c r="K184" t="s">
        <v>601</v>
      </c>
      <c r="L184" t="str">
        <f>_xlfn.TEXTJOIN("/",TRUE,Table2[[#This Row],[Departemen]:[Unit]])</f>
        <v>Production &amp; Engineering/Engineering/Maintenance &amp; Utility/Incenerator</v>
      </c>
      <c r="M184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20-05-005-033</v>
      </c>
      <c r="N184" t="s">
        <v>574</v>
      </c>
      <c r="O184" t="str">
        <f>IFERROR(VLOOKUP(Table2[[#This Row],[Atasan]],Table2[[#All],[Hierarchy]:[Kode Posisi]],2,FALSE),"")</f>
        <v>20-05-005-035</v>
      </c>
      <c r="P184" t="s">
        <v>27</v>
      </c>
      <c r="S184" t="str">
        <f>IFERROR(VLOOKUP(Table2[[#This Row],[ID Karyawan]],[1]!Table4[[#All],[Nik]:[Placement]],37,FALSE),"")</f>
        <v/>
      </c>
      <c r="T184" t="s">
        <v>74</v>
      </c>
      <c r="U184" t="s">
        <v>623</v>
      </c>
      <c r="V184" t="s">
        <v>624</v>
      </c>
    </row>
    <row r="185" spans="1:22">
      <c r="A185" t="s">
        <v>625</v>
      </c>
      <c r="B185" t="s">
        <v>626</v>
      </c>
      <c r="C185" s="9">
        <v>26780</v>
      </c>
      <c r="D185">
        <f ca="1">IF(Table2[[#This Row],[Tgl Lahir]]="","Unknown",DATEDIF(Table2[[#This Row],[Tgl Lahir]],TODAY(),"Y"))</f>
        <v>53</v>
      </c>
      <c r="E185" s="9">
        <v>35768</v>
      </c>
      <c r="F185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28 tahun 10 bulan</v>
      </c>
      <c r="G185" t="s">
        <v>101</v>
      </c>
      <c r="H185" t="s">
        <v>61</v>
      </c>
      <c r="I185" t="s">
        <v>552</v>
      </c>
      <c r="J185" t="s">
        <v>560</v>
      </c>
      <c r="K185" t="s">
        <v>627</v>
      </c>
      <c r="L185" t="str">
        <f>_xlfn.TEXTJOIN("/",TRUE,Table2[[#This Row],[Departemen]:[Unit]])</f>
        <v>Production &amp; Engineering/Engineering/Maintenance &amp; Utility/Power Station</v>
      </c>
      <c r="M185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20-05-005-034</v>
      </c>
      <c r="N185" t="s">
        <v>574</v>
      </c>
      <c r="O185" t="str">
        <f>IFERROR(VLOOKUP(Table2[[#This Row],[Atasan]],Table2[[#All],[Hierarchy]:[Kode Posisi]],2,FALSE),"")</f>
        <v>20-05-005-035</v>
      </c>
      <c r="P185" t="s">
        <v>27</v>
      </c>
      <c r="S185" t="str">
        <f>IFERROR(VLOOKUP(Table2[[#This Row],[ID Karyawan]],[1]!Table4[[#All],[Nik]:[Placement]],37,FALSE),"")</f>
        <v/>
      </c>
      <c r="T185" t="s">
        <v>74</v>
      </c>
      <c r="U185" t="s">
        <v>299</v>
      </c>
      <c r="V185" t="s">
        <v>628</v>
      </c>
    </row>
    <row r="186" spans="1:22">
      <c r="A186" t="s">
        <v>629</v>
      </c>
      <c r="B186" t="s">
        <v>630</v>
      </c>
      <c r="C186" s="9">
        <v>27324</v>
      </c>
      <c r="D186">
        <f ca="1">IF(Table2[[#This Row],[Tgl Lahir]]="","Unknown",DATEDIF(Table2[[#This Row],[Tgl Lahir]],TODAY(),"Y"))</f>
        <v>51</v>
      </c>
      <c r="E186" s="9">
        <v>35443</v>
      </c>
      <c r="F186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9 bulan</v>
      </c>
      <c r="G186" t="s">
        <v>87</v>
      </c>
      <c r="H186" t="s">
        <v>61</v>
      </c>
      <c r="I186" t="s">
        <v>552</v>
      </c>
      <c r="J186" t="s">
        <v>560</v>
      </c>
      <c r="K186" t="s">
        <v>627</v>
      </c>
      <c r="L186" t="str">
        <f>_xlfn.TEXTJOIN("/",TRUE,Table2[[#This Row],[Departemen]:[Unit]])</f>
        <v>Production &amp; Engineering/Engineering/Maintenance &amp; Utility/Power Station</v>
      </c>
      <c r="M186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20-05-005-034</v>
      </c>
      <c r="N186" t="s">
        <v>574</v>
      </c>
      <c r="O186" t="str">
        <f>IFERROR(VLOOKUP(Table2[[#This Row],[Atasan]],Table2[[#All],[Hierarchy]:[Kode Posisi]],2,FALSE),"")</f>
        <v>20-05-005-035</v>
      </c>
      <c r="P186" t="s">
        <v>27</v>
      </c>
      <c r="S186" t="str">
        <f>IFERROR(VLOOKUP(Table2[[#This Row],[ID Karyawan]],[1]!Table4[[#All],[Nik]:[Placement]],37,FALSE),"")</f>
        <v/>
      </c>
      <c r="T186" t="s">
        <v>74</v>
      </c>
      <c r="U186">
        <v>0</v>
      </c>
      <c r="V186">
        <v>0</v>
      </c>
    </row>
    <row r="187" spans="1:22">
      <c r="A187" t="s">
        <v>631</v>
      </c>
      <c r="B187" t="s">
        <v>632</v>
      </c>
      <c r="C187" s="9">
        <v>27901</v>
      </c>
      <c r="D187">
        <f ca="1">IF(Table2[[#This Row],[Tgl Lahir]]="","Unknown",DATEDIF(Table2[[#This Row],[Tgl Lahir]],TODAY(),"Y"))</f>
        <v>50</v>
      </c>
      <c r="E187" s="9">
        <v>35453</v>
      </c>
      <c r="F187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8 bulan</v>
      </c>
      <c r="G187" t="s">
        <v>87</v>
      </c>
      <c r="H187" t="s">
        <v>61</v>
      </c>
      <c r="I187" t="s">
        <v>552</v>
      </c>
      <c r="J187" t="s">
        <v>560</v>
      </c>
      <c r="K187" t="s">
        <v>627</v>
      </c>
      <c r="L187" t="str">
        <f>_xlfn.TEXTJOIN("/",TRUE,Table2[[#This Row],[Departemen]:[Unit]])</f>
        <v>Production &amp; Engineering/Engineering/Maintenance &amp; Utility/Power Station</v>
      </c>
      <c r="M187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20-05-005-034</v>
      </c>
      <c r="N187" t="s">
        <v>574</v>
      </c>
      <c r="O187" t="str">
        <f>IFERROR(VLOOKUP(Table2[[#This Row],[Atasan]],Table2[[#All],[Hierarchy]:[Kode Posisi]],2,FALSE),"")</f>
        <v>20-05-005-035</v>
      </c>
      <c r="P187" t="s">
        <v>27</v>
      </c>
      <c r="S187" t="str">
        <f>IFERROR(VLOOKUP(Table2[[#This Row],[ID Karyawan]],[1]!Table4[[#All],[Nik]:[Placement]],37,FALSE),"")</f>
        <v/>
      </c>
      <c r="T187" t="s">
        <v>74</v>
      </c>
      <c r="U187" t="s">
        <v>633</v>
      </c>
      <c r="V187">
        <v>0</v>
      </c>
    </row>
    <row r="188" spans="1:22">
      <c r="A188" t="s">
        <v>634</v>
      </c>
      <c r="B188" t="s">
        <v>635</v>
      </c>
      <c r="C188" s="9">
        <v>26554</v>
      </c>
      <c r="D188">
        <f ca="1">IF(Table2[[#This Row],[Tgl Lahir]]="","Unknown",DATEDIF(Table2[[#This Row],[Tgl Lahir]],TODAY(),"Y"))</f>
        <v>54</v>
      </c>
      <c r="E188" s="9">
        <v>35464</v>
      </c>
      <c r="F188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8 bulan</v>
      </c>
      <c r="G188" t="s">
        <v>87</v>
      </c>
      <c r="H188" t="s">
        <v>61</v>
      </c>
      <c r="I188" t="s">
        <v>552</v>
      </c>
      <c r="J188" t="s">
        <v>560</v>
      </c>
      <c r="K188" t="s">
        <v>627</v>
      </c>
      <c r="L188" t="str">
        <f>_xlfn.TEXTJOIN("/",TRUE,Table2[[#This Row],[Departemen]:[Unit]])</f>
        <v>Production &amp; Engineering/Engineering/Maintenance &amp; Utility/Power Station</v>
      </c>
      <c r="M188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20-05-005-034</v>
      </c>
      <c r="N188" t="s">
        <v>574</v>
      </c>
      <c r="O188" t="str">
        <f>IFERROR(VLOOKUP(Table2[[#This Row],[Atasan]],Table2[[#All],[Hierarchy]:[Kode Posisi]],2,FALSE),"")</f>
        <v>20-05-005-035</v>
      </c>
      <c r="P188" t="s">
        <v>27</v>
      </c>
      <c r="S188" t="str">
        <f>IFERROR(VLOOKUP(Table2[[#This Row],[ID Karyawan]],[1]!Table4[[#All],[Nik]:[Placement]],37,FALSE),"")</f>
        <v/>
      </c>
      <c r="T188" t="s">
        <v>74</v>
      </c>
      <c r="U188" t="s">
        <v>617</v>
      </c>
      <c r="V188" t="s">
        <v>184</v>
      </c>
    </row>
    <row r="189" spans="1:22">
      <c r="A189" t="s">
        <v>636</v>
      </c>
      <c r="B189" t="s">
        <v>637</v>
      </c>
      <c r="C189" s="9">
        <v>28176</v>
      </c>
      <c r="D189">
        <f ca="1">IF(Table2[[#This Row],[Tgl Lahir]]="","Unknown",DATEDIF(Table2[[#This Row],[Tgl Lahir]],TODAY(),"Y"))</f>
        <v>49</v>
      </c>
      <c r="E189" s="9">
        <v>35156</v>
      </c>
      <c r="F189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30 tahun 6 bulan</v>
      </c>
      <c r="G189" t="s">
        <v>77</v>
      </c>
      <c r="H189" t="s">
        <v>61</v>
      </c>
      <c r="I189" t="s">
        <v>552</v>
      </c>
      <c r="J189" t="s">
        <v>560</v>
      </c>
      <c r="K189" t="s">
        <v>638</v>
      </c>
      <c r="L189" t="str">
        <f>_xlfn.TEXTJOIN("/",TRUE,Table2[[#This Row],[Departemen]:[Unit]])</f>
        <v>Production &amp; Engineering/Engineering/Maintenance &amp; Utility/Utility</v>
      </c>
      <c r="M189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20-05-005-035</v>
      </c>
      <c r="N189" t="s">
        <v>568</v>
      </c>
      <c r="O189" t="str">
        <f>IFERROR(VLOOKUP(Table2[[#This Row],[Atasan]],Table2[[#All],[Hierarchy]:[Kode Posisi]],2,FALSE),"")</f>
        <v>20-05-005-000</v>
      </c>
      <c r="P189" t="s">
        <v>27</v>
      </c>
      <c r="S189" t="str">
        <f>IFERROR(VLOOKUP(Table2[[#This Row],[ID Karyawan]],[1]!Table4[[#All],[Nik]:[Placement]],37,FALSE),"")</f>
        <v/>
      </c>
      <c r="T189" t="s">
        <v>74</v>
      </c>
      <c r="U189" t="s">
        <v>299</v>
      </c>
      <c r="V189">
        <v>0</v>
      </c>
    </row>
    <row r="190" spans="1:22">
      <c r="A190" t="s">
        <v>639</v>
      </c>
      <c r="B190" t="s">
        <v>640</v>
      </c>
      <c r="C190" s="9">
        <v>27163</v>
      </c>
      <c r="D190">
        <f ca="1">IF(Table2[[#This Row],[Tgl Lahir]]="","Unknown",DATEDIF(Table2[[#This Row],[Tgl Lahir]],TODAY(),"Y"))</f>
        <v>52</v>
      </c>
      <c r="E190" s="9">
        <v>35408</v>
      </c>
      <c r="F190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10 bulan</v>
      </c>
      <c r="G190" t="s">
        <v>77</v>
      </c>
      <c r="H190" t="s">
        <v>61</v>
      </c>
      <c r="I190" t="s">
        <v>552</v>
      </c>
      <c r="J190" t="s">
        <v>560</v>
      </c>
      <c r="K190" t="s">
        <v>638</v>
      </c>
      <c r="L190" t="str">
        <f>_xlfn.TEXTJOIN("/",TRUE,Table2[[#This Row],[Departemen]:[Unit]])</f>
        <v>Production &amp; Engineering/Engineering/Maintenance &amp; Utility/Utility</v>
      </c>
      <c r="M190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20-05-005-035</v>
      </c>
      <c r="N190" t="s">
        <v>568</v>
      </c>
      <c r="O190" t="str">
        <f>IFERROR(VLOOKUP(Table2[[#This Row],[Atasan]],Table2[[#All],[Hierarchy]:[Kode Posisi]],2,FALSE),"")</f>
        <v>20-05-005-000</v>
      </c>
      <c r="P190" t="s">
        <v>27</v>
      </c>
      <c r="S190" t="str">
        <f>IFERROR(VLOOKUP(Table2[[#This Row],[ID Karyawan]],[1]!Table4[[#All],[Nik]:[Placement]],37,FALSE),"")</f>
        <v/>
      </c>
      <c r="T190" t="s">
        <v>74</v>
      </c>
      <c r="U190" t="s">
        <v>394</v>
      </c>
      <c r="V190">
        <v>0</v>
      </c>
    </row>
    <row r="191" spans="1:22">
      <c r="A191" t="s">
        <v>641</v>
      </c>
      <c r="B191" t="s">
        <v>642</v>
      </c>
      <c r="C191" s="9">
        <v>26990</v>
      </c>
      <c r="D191">
        <f ca="1">IF(Table2[[#This Row],[Tgl Lahir]]="","Unknown",DATEDIF(Table2[[#This Row],[Tgl Lahir]],TODAY(),"Y"))</f>
        <v>52</v>
      </c>
      <c r="E191" s="9">
        <v>35592</v>
      </c>
      <c r="F191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4 bulan</v>
      </c>
      <c r="G191" t="s">
        <v>77</v>
      </c>
      <c r="H191" t="s">
        <v>61</v>
      </c>
      <c r="I191" t="s">
        <v>552</v>
      </c>
      <c r="J191" t="s">
        <v>560</v>
      </c>
      <c r="K191" t="s">
        <v>638</v>
      </c>
      <c r="L191" t="str">
        <f>_xlfn.TEXTJOIN("/",TRUE,Table2[[#This Row],[Departemen]:[Unit]])</f>
        <v>Production &amp; Engineering/Engineering/Maintenance &amp; Utility/Utility</v>
      </c>
      <c r="M191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20-05-005-035</v>
      </c>
      <c r="N191" t="s">
        <v>568</v>
      </c>
      <c r="O191" t="str">
        <f>IFERROR(VLOOKUP(Table2[[#This Row],[Atasan]],Table2[[#All],[Hierarchy]:[Kode Posisi]],2,FALSE),"")</f>
        <v>20-05-005-000</v>
      </c>
      <c r="P191" t="s">
        <v>27</v>
      </c>
      <c r="S191" t="str">
        <f>IFERROR(VLOOKUP(Table2[[#This Row],[ID Karyawan]],[1]!Table4[[#All],[Nik]:[Placement]],37,FALSE),"")</f>
        <v/>
      </c>
      <c r="T191" t="s">
        <v>121</v>
      </c>
      <c r="U191" t="s">
        <v>643</v>
      </c>
      <c r="V191" t="s">
        <v>644</v>
      </c>
    </row>
    <row r="192" spans="1:22">
      <c r="A192" t="s">
        <v>645</v>
      </c>
      <c r="B192" t="s">
        <v>646</v>
      </c>
      <c r="C192" s="9">
        <v>25347</v>
      </c>
      <c r="D192">
        <f ca="1">IF(Table2[[#This Row],[Tgl Lahir]]="","Unknown",DATEDIF(Table2[[#This Row],[Tgl Lahir]],TODAY(),"Y"))</f>
        <v>57</v>
      </c>
      <c r="E192" s="9">
        <v>35957</v>
      </c>
      <c r="F192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28 tahun 4 bulan</v>
      </c>
      <c r="G192" t="s">
        <v>101</v>
      </c>
      <c r="H192" t="s">
        <v>61</v>
      </c>
      <c r="I192" t="s">
        <v>552</v>
      </c>
      <c r="J192" t="s">
        <v>560</v>
      </c>
      <c r="K192" t="s">
        <v>647</v>
      </c>
      <c r="L192" t="str">
        <f>_xlfn.TEXTJOIN("/",TRUE,Table2[[#This Row],[Departemen]:[Unit]])</f>
        <v>Production &amp; Engineering/Engineering/Maintenance &amp; Utility/Plant Maintenance</v>
      </c>
      <c r="M192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20-05-005-036</v>
      </c>
      <c r="N192" t="s">
        <v>648</v>
      </c>
      <c r="O192" t="str">
        <f>IFERROR(VLOOKUP(Table2[[#This Row],[Atasan]],Table2[[#All],[Hierarchy]:[Kode Posisi]],2,FALSE),"")</f>
        <v>20-05-005-030</v>
      </c>
      <c r="P192" t="s">
        <v>27</v>
      </c>
      <c r="S192" t="str">
        <f>IFERROR(VLOOKUP(Table2[[#This Row],[ID Karyawan]],[1]!Table4[[#All],[Nik]:[Placement]],37,FALSE),"")</f>
        <v/>
      </c>
      <c r="T192" t="s">
        <v>74</v>
      </c>
      <c r="U192" t="s">
        <v>649</v>
      </c>
      <c r="V192" t="s">
        <v>650</v>
      </c>
    </row>
    <row r="193" spans="1:22">
      <c r="A193" t="s">
        <v>651</v>
      </c>
      <c r="B193" t="s">
        <v>652</v>
      </c>
      <c r="C193" s="9">
        <v>27095</v>
      </c>
      <c r="D193">
        <f ca="1">IF(Table2[[#This Row],[Tgl Lahir]]="","Unknown",DATEDIF(Table2[[#This Row],[Tgl Lahir]],TODAY(),"Y"))</f>
        <v>52</v>
      </c>
      <c r="E193" s="9">
        <v>35146</v>
      </c>
      <c r="F193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30 tahun 6 bulan</v>
      </c>
      <c r="G193" t="s">
        <v>653</v>
      </c>
      <c r="H193" t="s">
        <v>61</v>
      </c>
      <c r="I193" t="s">
        <v>552</v>
      </c>
      <c r="J193" t="s">
        <v>560</v>
      </c>
      <c r="K193" t="s">
        <v>647</v>
      </c>
      <c r="L193" t="str">
        <f>_xlfn.TEXTJOIN("/",TRUE,Table2[[#This Row],[Departemen]:[Unit]])</f>
        <v>Production &amp; Engineering/Engineering/Maintenance &amp; Utility/Plant Maintenance</v>
      </c>
      <c r="M193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20-05-005-036</v>
      </c>
      <c r="N193" t="s">
        <v>648</v>
      </c>
      <c r="O193" t="str">
        <f>IFERROR(VLOOKUP(Table2[[#This Row],[Atasan]],Table2[[#All],[Hierarchy]:[Kode Posisi]],2,FALSE),"")</f>
        <v>20-05-005-030</v>
      </c>
      <c r="P193" t="s">
        <v>27</v>
      </c>
      <c r="S193" t="str">
        <f>IFERROR(VLOOKUP(Table2[[#This Row],[ID Karyawan]],[1]!Table4[[#All],[Nik]:[Placement]],37,FALSE),"")</f>
        <v/>
      </c>
      <c r="T193" t="s">
        <v>74</v>
      </c>
      <c r="U193" t="s">
        <v>231</v>
      </c>
      <c r="V193" t="s">
        <v>654</v>
      </c>
    </row>
    <row r="194" spans="1:22">
      <c r="A194" t="s">
        <v>655</v>
      </c>
      <c r="B194" t="s">
        <v>656</v>
      </c>
      <c r="C194" s="9">
        <v>27827</v>
      </c>
      <c r="D194">
        <f ca="1">IF(Table2[[#This Row],[Tgl Lahir]]="","Unknown",DATEDIF(Table2[[#This Row],[Tgl Lahir]],TODAY(),"Y"))</f>
        <v>50</v>
      </c>
      <c r="E194" s="9">
        <v>35156</v>
      </c>
      <c r="F194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30 tahun 6 bulan</v>
      </c>
      <c r="G194" t="s">
        <v>653</v>
      </c>
      <c r="H194" t="s">
        <v>61</v>
      </c>
      <c r="I194" t="s">
        <v>552</v>
      </c>
      <c r="J194" t="s">
        <v>560</v>
      </c>
      <c r="K194" t="s">
        <v>647</v>
      </c>
      <c r="L194" t="str">
        <f>_xlfn.TEXTJOIN("/",TRUE,Table2[[#This Row],[Departemen]:[Unit]])</f>
        <v>Production &amp; Engineering/Engineering/Maintenance &amp; Utility/Plant Maintenance</v>
      </c>
      <c r="M194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20-05-005-036</v>
      </c>
      <c r="N194" t="s">
        <v>648</v>
      </c>
      <c r="O194" t="str">
        <f>IFERROR(VLOOKUP(Table2[[#This Row],[Atasan]],Table2[[#All],[Hierarchy]:[Kode Posisi]],2,FALSE),"")</f>
        <v>20-05-005-030</v>
      </c>
      <c r="P194" t="s">
        <v>27</v>
      </c>
      <c r="S194" t="str">
        <f>IFERROR(VLOOKUP(Table2[[#This Row],[ID Karyawan]],[1]!Table4[[#All],[Nik]:[Placement]],37,FALSE),"")</f>
        <v/>
      </c>
      <c r="T194" t="s">
        <v>74</v>
      </c>
      <c r="U194">
        <v>0</v>
      </c>
      <c r="V194">
        <v>0</v>
      </c>
    </row>
    <row r="195" spans="1:22">
      <c r="A195" t="s">
        <v>657</v>
      </c>
      <c r="B195" t="s">
        <v>411</v>
      </c>
      <c r="C195" s="9">
        <v>27894</v>
      </c>
      <c r="D195">
        <f ca="1">IF(Table2[[#This Row],[Tgl Lahir]]="","Unknown",DATEDIF(Table2[[#This Row],[Tgl Lahir]],TODAY(),"Y"))</f>
        <v>50</v>
      </c>
      <c r="E195" s="9">
        <v>35376</v>
      </c>
      <c r="F195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11 bulan</v>
      </c>
      <c r="G195" t="s">
        <v>653</v>
      </c>
      <c r="H195" t="s">
        <v>61</v>
      </c>
      <c r="I195" t="s">
        <v>552</v>
      </c>
      <c r="J195" t="s">
        <v>560</v>
      </c>
      <c r="K195" t="s">
        <v>647</v>
      </c>
      <c r="L195" t="str">
        <f>_xlfn.TEXTJOIN("/",TRUE,Table2[[#This Row],[Departemen]:[Unit]])</f>
        <v>Production &amp; Engineering/Engineering/Maintenance &amp; Utility/Plant Maintenance</v>
      </c>
      <c r="M195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20-05-005-036</v>
      </c>
      <c r="N195" t="s">
        <v>648</v>
      </c>
      <c r="O195" t="str">
        <f>IFERROR(VLOOKUP(Table2[[#This Row],[Atasan]],Table2[[#All],[Hierarchy]:[Kode Posisi]],2,FALSE),"")</f>
        <v>20-05-005-030</v>
      </c>
      <c r="P195" t="s">
        <v>27</v>
      </c>
      <c r="S195" t="str">
        <f>IFERROR(VLOOKUP(Table2[[#This Row],[ID Karyawan]],[1]!Table4[[#All],[Nik]:[Placement]],37,FALSE),"")</f>
        <v/>
      </c>
      <c r="T195" t="s">
        <v>74</v>
      </c>
      <c r="U195" t="s">
        <v>299</v>
      </c>
      <c r="V195" t="s">
        <v>658</v>
      </c>
    </row>
    <row r="196" spans="1:22">
      <c r="A196" t="s">
        <v>659</v>
      </c>
      <c r="B196" t="s">
        <v>660</v>
      </c>
      <c r="C196" s="9">
        <v>25452</v>
      </c>
      <c r="D196">
        <f ca="1">IF(Table2[[#This Row],[Tgl Lahir]]="","Unknown",DATEDIF(Table2[[#This Row],[Tgl Lahir]],TODAY(),"Y"))</f>
        <v>57</v>
      </c>
      <c r="E196" s="9" t="s">
        <v>24</v>
      </c>
      <c r="F196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/>
      </c>
      <c r="G196" t="s">
        <v>653</v>
      </c>
      <c r="H196" t="s">
        <v>61</v>
      </c>
      <c r="I196" t="s">
        <v>552</v>
      </c>
      <c r="J196" t="s">
        <v>560</v>
      </c>
      <c r="K196" t="s">
        <v>647</v>
      </c>
      <c r="L196" t="str">
        <f>_xlfn.TEXTJOIN("/",TRUE,Table2[[#This Row],[Departemen]:[Unit]])</f>
        <v>Production &amp; Engineering/Engineering/Maintenance &amp; Utility/Plant Maintenance</v>
      </c>
      <c r="M196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20-05-005-036</v>
      </c>
      <c r="N196" t="s">
        <v>648</v>
      </c>
      <c r="O196" t="str">
        <f>IFERROR(VLOOKUP(Table2[[#This Row],[Atasan]],Table2[[#All],[Hierarchy]:[Kode Posisi]],2,FALSE),"")</f>
        <v>20-05-005-030</v>
      </c>
      <c r="P196" t="s">
        <v>27</v>
      </c>
      <c r="S196" t="str">
        <f>IFERROR(VLOOKUP(Table2[[#This Row],[ID Karyawan]],[1]!Table4[[#All],[Nik]:[Placement]],37,FALSE),"")</f>
        <v/>
      </c>
      <c r="T196" t="s">
        <v>24</v>
      </c>
      <c r="U196" t="s">
        <v>24</v>
      </c>
      <c r="V196" t="s">
        <v>24</v>
      </c>
    </row>
    <row r="197" spans="1:22">
      <c r="A197" t="s">
        <v>661</v>
      </c>
      <c r="B197" t="s">
        <v>662</v>
      </c>
      <c r="C197" s="9">
        <v>28112</v>
      </c>
      <c r="D197">
        <f ca="1">IF(Table2[[#This Row],[Tgl Lahir]]="","Unknown",DATEDIF(Table2[[#This Row],[Tgl Lahir]],TODAY(),"Y"))</f>
        <v>49</v>
      </c>
      <c r="E197" s="9">
        <v>35446</v>
      </c>
      <c r="F197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8 bulan</v>
      </c>
      <c r="G197" t="s">
        <v>653</v>
      </c>
      <c r="H197" t="s">
        <v>61</v>
      </c>
      <c r="I197" t="s">
        <v>552</v>
      </c>
      <c r="J197" t="s">
        <v>560</v>
      </c>
      <c r="K197" t="s">
        <v>647</v>
      </c>
      <c r="L197" t="str">
        <f>_xlfn.TEXTJOIN("/",TRUE,Table2[[#This Row],[Departemen]:[Unit]])</f>
        <v>Production &amp; Engineering/Engineering/Maintenance &amp; Utility/Plant Maintenance</v>
      </c>
      <c r="M197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20-05-005-036</v>
      </c>
      <c r="N197" t="s">
        <v>648</v>
      </c>
      <c r="O197" t="str">
        <f>IFERROR(VLOOKUP(Table2[[#This Row],[Atasan]],Table2[[#All],[Hierarchy]:[Kode Posisi]],2,FALSE),"")</f>
        <v>20-05-005-030</v>
      </c>
      <c r="P197" t="s">
        <v>27</v>
      </c>
      <c r="S197" t="str">
        <f>IFERROR(VLOOKUP(Table2[[#This Row],[ID Karyawan]],[1]!Table4[[#All],[Nik]:[Placement]],37,FALSE),"")</f>
        <v/>
      </c>
      <c r="T197" t="s">
        <v>74</v>
      </c>
      <c r="U197" t="s">
        <v>663</v>
      </c>
      <c r="V197" t="s">
        <v>664</v>
      </c>
    </row>
    <row r="198" spans="1:22">
      <c r="A198" t="s">
        <v>665</v>
      </c>
      <c r="B198" t="s">
        <v>666</v>
      </c>
      <c r="C198" s="9">
        <v>27960</v>
      </c>
      <c r="D198">
        <f ca="1">IF(Table2[[#This Row],[Tgl Lahir]]="","Unknown",DATEDIF(Table2[[#This Row],[Tgl Lahir]],TODAY(),"Y"))</f>
        <v>50</v>
      </c>
      <c r="E198" s="9">
        <v>35524</v>
      </c>
      <c r="F198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6 bulan</v>
      </c>
      <c r="G198" t="s">
        <v>653</v>
      </c>
      <c r="H198" t="s">
        <v>61</v>
      </c>
      <c r="I198" t="s">
        <v>552</v>
      </c>
      <c r="J198" t="s">
        <v>560</v>
      </c>
      <c r="K198" t="s">
        <v>647</v>
      </c>
      <c r="L198" t="str">
        <f>_xlfn.TEXTJOIN("/",TRUE,Table2[[#This Row],[Departemen]:[Unit]])</f>
        <v>Production &amp; Engineering/Engineering/Maintenance &amp; Utility/Plant Maintenance</v>
      </c>
      <c r="M198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20-05-005-036</v>
      </c>
      <c r="N198" t="s">
        <v>648</v>
      </c>
      <c r="O198" t="str">
        <f>IFERROR(VLOOKUP(Table2[[#This Row],[Atasan]],Table2[[#All],[Hierarchy]:[Kode Posisi]],2,FALSE),"")</f>
        <v>20-05-005-030</v>
      </c>
      <c r="P198" t="s">
        <v>27</v>
      </c>
      <c r="S198" t="str">
        <f>IFERROR(VLOOKUP(Table2[[#This Row],[ID Karyawan]],[1]!Table4[[#All],[Nik]:[Placement]],37,FALSE),"")</f>
        <v/>
      </c>
      <c r="T198" t="s">
        <v>74</v>
      </c>
      <c r="U198" t="s">
        <v>667</v>
      </c>
      <c r="V198" t="s">
        <v>668</v>
      </c>
    </row>
    <row r="199" spans="1:22">
      <c r="A199" t="s">
        <v>669</v>
      </c>
      <c r="B199" t="s">
        <v>670</v>
      </c>
      <c r="C199" s="9">
        <v>27603</v>
      </c>
      <c r="D199">
        <f ca="1">IF(Table2[[#This Row],[Tgl Lahir]]="","Unknown",DATEDIF(Table2[[#This Row],[Tgl Lahir]],TODAY(),"Y"))</f>
        <v>51</v>
      </c>
      <c r="E199" s="9">
        <v>35717</v>
      </c>
      <c r="F199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28 tahun 11 bulan</v>
      </c>
      <c r="G199" t="s">
        <v>653</v>
      </c>
      <c r="H199" t="s">
        <v>61</v>
      </c>
      <c r="I199" t="s">
        <v>552</v>
      </c>
      <c r="J199" t="s">
        <v>560</v>
      </c>
      <c r="K199" t="s">
        <v>647</v>
      </c>
      <c r="L199" t="str">
        <f>_xlfn.TEXTJOIN("/",TRUE,Table2[[#This Row],[Departemen]:[Unit]])</f>
        <v>Production &amp; Engineering/Engineering/Maintenance &amp; Utility/Plant Maintenance</v>
      </c>
      <c r="M199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20-05-005-036</v>
      </c>
      <c r="N199" t="s">
        <v>648</v>
      </c>
      <c r="O199" t="str">
        <f>IFERROR(VLOOKUP(Table2[[#This Row],[Atasan]],Table2[[#All],[Hierarchy]:[Kode Posisi]],2,FALSE),"")</f>
        <v>20-05-005-030</v>
      </c>
      <c r="P199" t="s">
        <v>27</v>
      </c>
      <c r="S199" t="str">
        <f>IFERROR(VLOOKUP(Table2[[#This Row],[ID Karyawan]],[1]!Table4[[#All],[Nik]:[Placement]],37,FALSE),"")</f>
        <v/>
      </c>
      <c r="T199" t="s">
        <v>74</v>
      </c>
      <c r="U199" t="s">
        <v>614</v>
      </c>
      <c r="V199" t="s">
        <v>671</v>
      </c>
    </row>
    <row r="200" spans="1:22">
      <c r="A200" t="s">
        <v>672</v>
      </c>
      <c r="B200" t="s">
        <v>673</v>
      </c>
      <c r="C200" s="9">
        <v>27682</v>
      </c>
      <c r="D200">
        <f ca="1">IF(Table2[[#This Row],[Tgl Lahir]]="","Unknown",DATEDIF(Table2[[#This Row],[Tgl Lahir]],TODAY(),"Y"))</f>
        <v>50</v>
      </c>
      <c r="E200" s="9">
        <v>35717</v>
      </c>
      <c r="F200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28 tahun 11 bulan</v>
      </c>
      <c r="G200" t="s">
        <v>653</v>
      </c>
      <c r="H200" t="s">
        <v>61</v>
      </c>
      <c r="I200" t="s">
        <v>552</v>
      </c>
      <c r="J200" t="s">
        <v>560</v>
      </c>
      <c r="K200" t="s">
        <v>647</v>
      </c>
      <c r="L200" t="str">
        <f>_xlfn.TEXTJOIN("/",TRUE,Table2[[#This Row],[Departemen]:[Unit]])</f>
        <v>Production &amp; Engineering/Engineering/Maintenance &amp; Utility/Plant Maintenance</v>
      </c>
      <c r="M200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20-05-005-036</v>
      </c>
      <c r="N200" t="s">
        <v>648</v>
      </c>
      <c r="O200" t="str">
        <f>IFERROR(VLOOKUP(Table2[[#This Row],[Atasan]],Table2[[#All],[Hierarchy]:[Kode Posisi]],2,FALSE),"")</f>
        <v>20-05-005-030</v>
      </c>
      <c r="P200" t="s">
        <v>27</v>
      </c>
      <c r="S200" t="str">
        <f>IFERROR(VLOOKUP(Table2[[#This Row],[ID Karyawan]],[1]!Table4[[#All],[Nik]:[Placement]],37,FALSE),"")</f>
        <v/>
      </c>
      <c r="T200" t="s">
        <v>74</v>
      </c>
      <c r="U200" t="s">
        <v>674</v>
      </c>
      <c r="V200">
        <v>0</v>
      </c>
    </row>
    <row r="201" spans="1:22">
      <c r="A201" t="s">
        <v>675</v>
      </c>
      <c r="B201" t="s">
        <v>676</v>
      </c>
      <c r="C201" s="9">
        <v>29406</v>
      </c>
      <c r="D201">
        <f ca="1">IF(Table2[[#This Row],[Tgl Lahir]]="","Unknown",DATEDIF(Table2[[#This Row],[Tgl Lahir]],TODAY(),"Y"))</f>
        <v>46</v>
      </c>
      <c r="E201" s="9">
        <v>39748</v>
      </c>
      <c r="F201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17 tahun 11 bulan</v>
      </c>
      <c r="G201" t="s">
        <v>653</v>
      </c>
      <c r="H201" t="s">
        <v>61</v>
      </c>
      <c r="I201" t="s">
        <v>552</v>
      </c>
      <c r="J201" t="s">
        <v>560</v>
      </c>
      <c r="K201" t="s">
        <v>647</v>
      </c>
      <c r="L201" t="str">
        <f>_xlfn.TEXTJOIN("/",TRUE,Table2[[#This Row],[Departemen]:[Unit]])</f>
        <v>Production &amp; Engineering/Engineering/Maintenance &amp; Utility/Plant Maintenance</v>
      </c>
      <c r="M201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20-05-005-036</v>
      </c>
      <c r="N201" t="s">
        <v>648</v>
      </c>
      <c r="O201" t="str">
        <f>IFERROR(VLOOKUP(Table2[[#This Row],[Atasan]],Table2[[#All],[Hierarchy]:[Kode Posisi]],2,FALSE),"")</f>
        <v>20-05-005-030</v>
      </c>
      <c r="P201" t="s">
        <v>27</v>
      </c>
      <c r="S201" t="str">
        <f>IFERROR(VLOOKUP(Table2[[#This Row],[ID Karyawan]],[1]!Table4[[#All],[Nik]:[Placement]],37,FALSE),"")</f>
        <v/>
      </c>
      <c r="T201" t="s">
        <v>74</v>
      </c>
      <c r="U201" t="s">
        <v>79</v>
      </c>
      <c r="V201" t="s">
        <v>677</v>
      </c>
    </row>
    <row r="202" spans="1:22">
      <c r="A202" t="s">
        <v>678</v>
      </c>
      <c r="B202" t="s">
        <v>679</v>
      </c>
      <c r="C202" s="9">
        <v>36422</v>
      </c>
      <c r="D202">
        <f ca="1">IF(Table2[[#This Row],[Tgl Lahir]]="","Unknown",DATEDIF(Table2[[#This Row],[Tgl Lahir]],TODAY(),"Y"))</f>
        <v>27</v>
      </c>
      <c r="E202" s="9">
        <v>45839</v>
      </c>
      <c r="F202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 tahun 3 bulan</v>
      </c>
      <c r="G202" t="s">
        <v>653</v>
      </c>
      <c r="H202" t="s">
        <v>61</v>
      </c>
      <c r="I202" t="s">
        <v>552</v>
      </c>
      <c r="J202" t="s">
        <v>560</v>
      </c>
      <c r="K202" t="s">
        <v>647</v>
      </c>
      <c r="L202" t="str">
        <f>_xlfn.TEXTJOIN("/",TRUE,Table2[[#This Row],[Departemen]:[Unit]])</f>
        <v>Production &amp; Engineering/Engineering/Maintenance &amp; Utility/Plant Maintenance</v>
      </c>
      <c r="M202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20-05-005-036</v>
      </c>
      <c r="N202" t="s">
        <v>648</v>
      </c>
      <c r="O202" t="str">
        <f>IFERROR(VLOOKUP(Table2[[#This Row],[Atasan]],Table2[[#All],[Hierarchy]:[Kode Posisi]],2,FALSE),"")</f>
        <v>20-05-005-030</v>
      </c>
      <c r="P202" t="s">
        <v>27</v>
      </c>
      <c r="S202" t="str">
        <f>IFERROR(VLOOKUP(Table2[[#This Row],[ID Karyawan]],[1]!Table4[[#All],[Nik]:[Placement]],37,FALSE),"")</f>
        <v/>
      </c>
      <c r="T202" t="s">
        <v>74</v>
      </c>
      <c r="U202" t="s">
        <v>24</v>
      </c>
      <c r="V202" t="s">
        <v>24</v>
      </c>
    </row>
    <row r="203" spans="1:22">
      <c r="A203" t="s">
        <v>680</v>
      </c>
      <c r="B203" t="s">
        <v>681</v>
      </c>
      <c r="C203" s="9">
        <v>34974</v>
      </c>
      <c r="D203">
        <f ca="1">IF(Table2[[#This Row],[Tgl Lahir]]="","Unknown",DATEDIF(Table2[[#This Row],[Tgl Lahir]],TODAY(),"Y"))</f>
        <v>31</v>
      </c>
      <c r="E203" s="9">
        <v>45839</v>
      </c>
      <c r="F203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 tahun 3 bulan</v>
      </c>
      <c r="G203" t="s">
        <v>653</v>
      </c>
      <c r="H203" t="s">
        <v>61</v>
      </c>
      <c r="I203" t="s">
        <v>552</v>
      </c>
      <c r="J203" t="s">
        <v>560</v>
      </c>
      <c r="K203" t="s">
        <v>647</v>
      </c>
      <c r="L203" t="str">
        <f>_xlfn.TEXTJOIN("/",TRUE,Table2[[#This Row],[Departemen]:[Unit]])</f>
        <v>Production &amp; Engineering/Engineering/Maintenance &amp; Utility/Plant Maintenance</v>
      </c>
      <c r="M203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20-05-005-036</v>
      </c>
      <c r="N203" t="s">
        <v>648</v>
      </c>
      <c r="O203" t="str">
        <f>IFERROR(VLOOKUP(Table2[[#This Row],[Atasan]],Table2[[#All],[Hierarchy]:[Kode Posisi]],2,FALSE),"")</f>
        <v>20-05-005-030</v>
      </c>
      <c r="P203" t="s">
        <v>27</v>
      </c>
      <c r="S203" t="str">
        <f>IFERROR(VLOOKUP(Table2[[#This Row],[ID Karyawan]],[1]!Table4[[#All],[Nik]:[Placement]],37,FALSE),"")</f>
        <v/>
      </c>
      <c r="T203" t="s">
        <v>41</v>
      </c>
      <c r="U203" t="s">
        <v>24</v>
      </c>
      <c r="V203" t="s">
        <v>24</v>
      </c>
    </row>
    <row r="204" spans="1:22">
      <c r="A204" t="s">
        <v>682</v>
      </c>
      <c r="B204" t="s">
        <v>683</v>
      </c>
      <c r="C204" s="9">
        <v>36217</v>
      </c>
      <c r="D204">
        <f ca="1">IF(Table2[[#This Row],[Tgl Lahir]]="","Unknown",DATEDIF(Table2[[#This Row],[Tgl Lahir]],TODAY(),"Y"))</f>
        <v>27</v>
      </c>
      <c r="E204" s="9">
        <v>45839</v>
      </c>
      <c r="F204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 tahun 3 bulan</v>
      </c>
      <c r="G204" t="s">
        <v>653</v>
      </c>
      <c r="H204" t="s">
        <v>61</v>
      </c>
      <c r="I204" t="s">
        <v>552</v>
      </c>
      <c r="J204" t="s">
        <v>560</v>
      </c>
      <c r="K204" t="s">
        <v>647</v>
      </c>
      <c r="L204" t="str">
        <f>_xlfn.TEXTJOIN("/",TRUE,Table2[[#This Row],[Departemen]:[Unit]])</f>
        <v>Production &amp; Engineering/Engineering/Maintenance &amp; Utility/Plant Maintenance</v>
      </c>
      <c r="M204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20-05-005-036</v>
      </c>
      <c r="N204" t="s">
        <v>648</v>
      </c>
      <c r="O204" t="str">
        <f>IFERROR(VLOOKUP(Table2[[#This Row],[Atasan]],Table2[[#All],[Hierarchy]:[Kode Posisi]],2,FALSE),"")</f>
        <v>20-05-005-030</v>
      </c>
      <c r="P204" t="s">
        <v>27</v>
      </c>
      <c r="S204" t="str">
        <f>IFERROR(VLOOKUP(Table2[[#This Row],[ID Karyawan]],[1]!Table4[[#All],[Nik]:[Placement]],37,FALSE),"")</f>
        <v/>
      </c>
      <c r="T204" t="s">
        <v>74</v>
      </c>
      <c r="U204" t="s">
        <v>24</v>
      </c>
      <c r="V204" t="s">
        <v>24</v>
      </c>
    </row>
    <row r="205" spans="1:22">
      <c r="A205"/>
      <c r="C205" s="9" t="s">
        <v>24</v>
      </c>
      <c r="D205" t="str">
        <f ca="1">IF(Table2[[#This Row],[Tgl Lahir]]="","Unknown",DATEDIF(Table2[[#This Row],[Tgl Lahir]],TODAY(),"Y"))</f>
        <v>Unknown</v>
      </c>
      <c r="E205" s="9" t="s">
        <v>24</v>
      </c>
      <c r="F205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/>
      </c>
      <c r="G205" t="s">
        <v>653</v>
      </c>
      <c r="H205" t="s">
        <v>61</v>
      </c>
      <c r="I205" t="s">
        <v>552</v>
      </c>
      <c r="J205" t="s">
        <v>560</v>
      </c>
      <c r="K205" t="s">
        <v>684</v>
      </c>
      <c r="L205" t="str">
        <f>_xlfn.TEXTJOIN("/",TRUE,Table2[[#This Row],[Departemen]:[Unit]])</f>
        <v>Production &amp; Engineering/Engineering/Maintenance &amp; Utility/Building Maintenance</v>
      </c>
      <c r="M205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20-05-005-037</v>
      </c>
      <c r="N205" t="s">
        <v>648</v>
      </c>
      <c r="O205" t="str">
        <f>IFERROR(VLOOKUP(Table2[[#This Row],[Atasan]],Table2[[#All],[Hierarchy]:[Kode Posisi]],2,FALSE),"")</f>
        <v>20-05-005-030</v>
      </c>
      <c r="P205" t="s">
        <v>27</v>
      </c>
      <c r="S205" t="str">
        <f>IFERROR(VLOOKUP(Table2[[#This Row],[ID Karyawan]],[1]!Table4[[#All],[Nik]:[Placement]],37,FALSE),"")</f>
        <v/>
      </c>
      <c r="T205" t="s">
        <v>24</v>
      </c>
      <c r="U205" t="s">
        <v>24</v>
      </c>
      <c r="V205" t="s">
        <v>24</v>
      </c>
    </row>
    <row r="206" spans="1:22">
      <c r="A206" t="s">
        <v>685</v>
      </c>
      <c r="B206" t="s">
        <v>686</v>
      </c>
      <c r="C206" s="9">
        <v>28595</v>
      </c>
      <c r="D206">
        <f ca="1">IF(Table2[[#This Row],[Tgl Lahir]]="","Unknown",DATEDIF(Table2[[#This Row],[Tgl Lahir]],TODAY(),"Y"))</f>
        <v>48</v>
      </c>
      <c r="E206" s="9">
        <v>43710</v>
      </c>
      <c r="F206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7 tahun 1 bulan</v>
      </c>
      <c r="G206" t="s">
        <v>653</v>
      </c>
      <c r="H206" t="s">
        <v>61</v>
      </c>
      <c r="I206" t="s">
        <v>552</v>
      </c>
      <c r="J206" t="s">
        <v>560</v>
      </c>
      <c r="K206" t="s">
        <v>687</v>
      </c>
      <c r="L206" t="str">
        <f>_xlfn.TEXTJOIN("/",TRUE,Table2[[#This Row],[Departemen]:[Unit]])</f>
        <v>Production &amp; Engineering/Engineering/Maintenance &amp; Utility/Workshop</v>
      </c>
      <c r="M206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20-05-005-038</v>
      </c>
      <c r="N206" t="s">
        <v>648</v>
      </c>
      <c r="O206" t="str">
        <f>IFERROR(VLOOKUP(Table2[[#This Row],[Atasan]],Table2[[#All],[Hierarchy]:[Kode Posisi]],2,FALSE),"")</f>
        <v>20-05-005-030</v>
      </c>
      <c r="P206" t="s">
        <v>27</v>
      </c>
      <c r="S206" t="str">
        <f>IFERROR(VLOOKUP(Table2[[#This Row],[ID Karyawan]],[1]!Table4[[#All],[Nik]:[Placement]],37,FALSE),"")</f>
        <v/>
      </c>
      <c r="T206" t="s">
        <v>74</v>
      </c>
      <c r="U206" t="s">
        <v>348</v>
      </c>
      <c r="V206" t="s">
        <v>668</v>
      </c>
    </row>
    <row r="207" spans="1:22">
      <c r="A207" t="s">
        <v>688</v>
      </c>
      <c r="B207" t="s">
        <v>689</v>
      </c>
      <c r="C207" s="9">
        <v>31707</v>
      </c>
      <c r="D207">
        <f ca="1">IF(Table2[[#This Row],[Tgl Lahir]]="","Unknown",DATEDIF(Table2[[#This Row],[Tgl Lahir]],TODAY(),"Y"))</f>
        <v>39</v>
      </c>
      <c r="E207" s="9">
        <v>40121</v>
      </c>
      <c r="F207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16 tahun 11 bulan</v>
      </c>
      <c r="G207" t="s">
        <v>690</v>
      </c>
      <c r="H207" t="s">
        <v>61</v>
      </c>
      <c r="I207" t="s">
        <v>552</v>
      </c>
      <c r="J207" t="s">
        <v>691</v>
      </c>
      <c r="L207" t="str">
        <f>_xlfn.TEXTJOIN("/",TRUE,Table2[[#This Row],[Departemen]:[Unit]])</f>
        <v>Production &amp; Engineering/Engineering/Automation Engineering</v>
      </c>
      <c r="M207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20-05-007-000</v>
      </c>
      <c r="N207" t="s">
        <v>561</v>
      </c>
      <c r="O207" t="str">
        <f>IFERROR(VLOOKUP(Table2[[#This Row],[Atasan]],Table2[[#All],[Hierarchy]:[Kode Posisi]],2,FALSE),"")</f>
        <v>20-05-000-000</v>
      </c>
      <c r="P207" t="s">
        <v>27</v>
      </c>
      <c r="S207" t="str">
        <f>IFERROR(VLOOKUP(Table2[[#This Row],[ID Karyawan]],[1]!Table4[[#All],[Nik]:[Placement]],37,FALSE),"")</f>
        <v/>
      </c>
      <c r="T207" t="s">
        <v>74</v>
      </c>
      <c r="U207" t="s">
        <v>692</v>
      </c>
      <c r="V207" t="s">
        <v>693</v>
      </c>
    </row>
    <row r="208" spans="1:22">
      <c r="A208" t="s">
        <v>694</v>
      </c>
      <c r="B208" t="s">
        <v>695</v>
      </c>
      <c r="C208" s="9">
        <v>35813</v>
      </c>
      <c r="D208">
        <f ca="1">IF(Table2[[#This Row],[Tgl Lahir]]="","Unknown",DATEDIF(Table2[[#This Row],[Tgl Lahir]],TODAY(),"Y"))</f>
        <v>28</v>
      </c>
      <c r="E208" s="9">
        <v>43411</v>
      </c>
      <c r="F208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7 tahun 11 bulan</v>
      </c>
      <c r="G208" t="s">
        <v>690</v>
      </c>
      <c r="H208" t="s">
        <v>61</v>
      </c>
      <c r="I208" t="s">
        <v>552</v>
      </c>
      <c r="J208" t="s">
        <v>691</v>
      </c>
      <c r="L208" t="str">
        <f>_xlfn.TEXTJOIN("/",TRUE,Table2[[#This Row],[Departemen]:[Unit]])</f>
        <v>Production &amp; Engineering/Engineering/Automation Engineering</v>
      </c>
      <c r="M208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20-05-007-000</v>
      </c>
      <c r="N208" t="s">
        <v>561</v>
      </c>
      <c r="O208" t="str">
        <f>IFERROR(VLOOKUP(Table2[[#This Row],[Atasan]],Table2[[#All],[Hierarchy]:[Kode Posisi]],2,FALSE),"")</f>
        <v>20-05-000-000</v>
      </c>
      <c r="P208" t="s">
        <v>27</v>
      </c>
      <c r="S208" t="str">
        <f>IFERROR(VLOOKUP(Table2[[#This Row],[ID Karyawan]],[1]!Table4[[#All],[Nik]:[Placement]],37,FALSE),"")</f>
        <v/>
      </c>
      <c r="T208" t="s">
        <v>121</v>
      </c>
      <c r="U208" t="s">
        <v>696</v>
      </c>
      <c r="V208" t="s">
        <v>697</v>
      </c>
    </row>
    <row r="209" spans="1:22">
      <c r="A209" t="s">
        <v>698</v>
      </c>
      <c r="B209" t="s">
        <v>699</v>
      </c>
      <c r="C209" s="9">
        <v>35024</v>
      </c>
      <c r="D209">
        <f ca="1">IF(Table2[[#This Row],[Tgl Lahir]]="","Unknown",DATEDIF(Table2[[#This Row],[Tgl Lahir]],TODAY(),"Y"))</f>
        <v>30</v>
      </c>
      <c r="E209" s="9">
        <v>43479</v>
      </c>
      <c r="F209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7 tahun 8 bulan</v>
      </c>
      <c r="G209" t="s">
        <v>690</v>
      </c>
      <c r="H209" t="s">
        <v>61</v>
      </c>
      <c r="I209" t="s">
        <v>552</v>
      </c>
      <c r="J209" t="s">
        <v>691</v>
      </c>
      <c r="L209" t="str">
        <f>_xlfn.TEXTJOIN("/",TRUE,Table2[[#This Row],[Departemen]:[Unit]])</f>
        <v>Production &amp; Engineering/Engineering/Automation Engineering</v>
      </c>
      <c r="M209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20-05-007-000</v>
      </c>
      <c r="N209" t="s">
        <v>561</v>
      </c>
      <c r="O209" t="str">
        <f>IFERROR(VLOOKUP(Table2[[#This Row],[Atasan]],Table2[[#All],[Hierarchy]:[Kode Posisi]],2,FALSE),"")</f>
        <v>20-05-000-000</v>
      </c>
      <c r="P209" t="s">
        <v>27</v>
      </c>
      <c r="S209" t="str">
        <f>IFERROR(VLOOKUP(Table2[[#This Row],[ID Karyawan]],[1]!Table4[[#All],[Nik]:[Placement]],37,FALSE),"")</f>
        <v/>
      </c>
      <c r="T209" t="s">
        <v>41</v>
      </c>
      <c r="U209" t="s">
        <v>696</v>
      </c>
      <c r="V209" t="s">
        <v>697</v>
      </c>
    </row>
    <row r="210" spans="1:22">
      <c r="A210" t="s">
        <v>700</v>
      </c>
      <c r="B210" t="s">
        <v>701</v>
      </c>
      <c r="C210" s="9">
        <v>25692</v>
      </c>
      <c r="D210">
        <f ca="1">IF(Table2[[#This Row],[Tgl Lahir]]="","Unknown",DATEDIF(Table2[[#This Row],[Tgl Lahir]],TODAY(),"Y"))</f>
        <v>56</v>
      </c>
      <c r="E210" s="9">
        <v>34335</v>
      </c>
      <c r="F210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32 tahun 9 bulan</v>
      </c>
      <c r="G210" t="s">
        <v>702</v>
      </c>
      <c r="H210" t="s">
        <v>61</v>
      </c>
      <c r="I210" t="s">
        <v>552</v>
      </c>
      <c r="J210" t="s">
        <v>703</v>
      </c>
      <c r="L210" t="str">
        <f>_xlfn.TEXTJOIN("/",TRUE,Table2[[#This Row],[Departemen]:[Unit]])</f>
        <v>Production &amp; Engineering/Engineering/Engineering Office</v>
      </c>
      <c r="M210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20-05-034-000</v>
      </c>
      <c r="N210" t="s">
        <v>561</v>
      </c>
      <c r="O210" t="str">
        <f>IFERROR(VLOOKUP(Table2[[#This Row],[Atasan]],Table2[[#All],[Hierarchy]:[Kode Posisi]],2,FALSE),"")</f>
        <v>20-05-000-000</v>
      </c>
      <c r="P210" t="s">
        <v>27</v>
      </c>
      <c r="S210" t="str">
        <f>IFERROR(VLOOKUP(Table2[[#This Row],[ID Karyawan]],[1]!Table4[[#All],[Nik]:[Placement]],37,FALSE),"")</f>
        <v/>
      </c>
      <c r="T210" t="s">
        <v>41</v>
      </c>
      <c r="U210" t="s">
        <v>704</v>
      </c>
      <c r="V210">
        <v>0</v>
      </c>
    </row>
    <row r="211" spans="1:22">
      <c r="A211" t="s">
        <v>47</v>
      </c>
      <c r="B211" t="s">
        <v>48</v>
      </c>
      <c r="C211" s="9">
        <v>19474</v>
      </c>
      <c r="D211">
        <f ca="1">IF(Table2[[#This Row],[Tgl Lahir]]="","Unknown",DATEDIF(Table2[[#This Row],[Tgl Lahir]],TODAY(),"Y"))</f>
        <v>73</v>
      </c>
      <c r="E211" s="9">
        <v>35431</v>
      </c>
      <c r="F211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9 bulan</v>
      </c>
      <c r="G211" t="s">
        <v>60</v>
      </c>
      <c r="H211" t="s">
        <v>705</v>
      </c>
      <c r="L211" t="str">
        <f>_xlfn.TEXTJOIN("/",TRUE,Table2[[#This Row],[Departemen]:[Unit]])</f>
        <v>Quality &amp; Compliance</v>
      </c>
      <c r="M211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30-00-000-000</v>
      </c>
      <c r="N211" t="s">
        <v>40</v>
      </c>
      <c r="O211" t="str">
        <f>IFERROR(VLOOKUP(Table2[[#This Row],[Atasan]],Table2[[#All],[Hierarchy]:[Kode Posisi]],2,FALSE),"")</f>
        <v>02-00-000-000</v>
      </c>
      <c r="P211" t="s">
        <v>62</v>
      </c>
      <c r="S211" t="str">
        <f>IFERROR(VLOOKUP(Table2[[#This Row],[ID Karyawan]],[1]!Table4[[#All],[Nik]:[Placement]],37,FALSE),"")</f>
        <v/>
      </c>
      <c r="T211" t="s">
        <v>41</v>
      </c>
      <c r="U211" t="s">
        <v>24</v>
      </c>
      <c r="V211" t="s">
        <v>24</v>
      </c>
    </row>
    <row r="212" spans="1:22">
      <c r="A212" t="s">
        <v>706</v>
      </c>
      <c r="B212" t="s">
        <v>707</v>
      </c>
      <c r="C212" s="9">
        <v>29766</v>
      </c>
      <c r="D212">
        <f ca="1">IF(Table2[[#This Row],[Tgl Lahir]]="","Unknown",DATEDIF(Table2[[#This Row],[Tgl Lahir]],TODAY(),"Y"))</f>
        <v>45</v>
      </c>
      <c r="E212" s="9">
        <v>46218</v>
      </c>
      <c r="F212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 bulan</v>
      </c>
      <c r="G212" t="s">
        <v>67</v>
      </c>
      <c r="H212" t="s">
        <v>705</v>
      </c>
      <c r="I212" t="s">
        <v>708</v>
      </c>
      <c r="L212" t="str">
        <f>_xlfn.TEXTJOIN("/",TRUE,Table2[[#This Row],[Departemen]:[Unit]])</f>
        <v>Quality &amp; Compliance/Quality Assurance &amp; Control</v>
      </c>
      <c r="M212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30-08-000-000</v>
      </c>
      <c r="N212" t="s">
        <v>705</v>
      </c>
      <c r="O212" t="str">
        <f>IFERROR(VLOOKUP(Table2[[#This Row],[Atasan]],Table2[[#All],[Hierarchy]:[Kode Posisi]],2,FALSE),"")</f>
        <v>30-00-000-000</v>
      </c>
      <c r="P212" t="s">
        <v>27</v>
      </c>
      <c r="S212" t="str">
        <f>IFERROR(VLOOKUP(Table2[[#This Row],[ID Karyawan]],[1]!Table4[[#All],[Nik]:[Placement]],37,FALSE),"")</f>
        <v/>
      </c>
      <c r="T212" t="s">
        <v>41</v>
      </c>
      <c r="U212" t="s">
        <v>24</v>
      </c>
      <c r="V212" t="s">
        <v>24</v>
      </c>
    </row>
    <row r="213" spans="1:22">
      <c r="A213" t="s">
        <v>709</v>
      </c>
      <c r="B213" t="s">
        <v>710</v>
      </c>
      <c r="C213" s="9">
        <v>25261</v>
      </c>
      <c r="D213">
        <f ca="1">IF(Table2[[#This Row],[Tgl Lahir]]="","Unknown",DATEDIF(Table2[[#This Row],[Tgl Lahir]],TODAY(),"Y"))</f>
        <v>57</v>
      </c>
      <c r="E213" s="9">
        <v>35521</v>
      </c>
      <c r="F213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6 bulan</v>
      </c>
      <c r="G213" t="s">
        <v>71</v>
      </c>
      <c r="H213" t="s">
        <v>705</v>
      </c>
      <c r="I213" t="s">
        <v>708</v>
      </c>
      <c r="J213" t="s">
        <v>711</v>
      </c>
      <c r="L213" t="str">
        <f>_xlfn.TEXTJOIN("/",TRUE,Table2[[#This Row],[Departemen]:[Unit]])</f>
        <v>Quality &amp; Compliance/Quality Assurance &amp; Control/Laboratory</v>
      </c>
      <c r="M213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30-08-012-000</v>
      </c>
      <c r="N213" t="s">
        <v>712</v>
      </c>
      <c r="O213" t="str">
        <f>IFERROR(VLOOKUP(Table2[[#This Row],[Atasan]],Table2[[#All],[Hierarchy]:[Kode Posisi]],2,FALSE),"")</f>
        <v>30-08-000-000</v>
      </c>
      <c r="P213" t="s">
        <v>27</v>
      </c>
      <c r="S213" t="str">
        <f>IFERROR(VLOOKUP(Table2[[#This Row],[ID Karyawan]],[1]!Table4[[#All],[Nik]:[Placement]],37,FALSE),"")</f>
        <v/>
      </c>
      <c r="T213" t="s">
        <v>41</v>
      </c>
      <c r="U213" t="s">
        <v>713</v>
      </c>
      <c r="V213" t="s">
        <v>714</v>
      </c>
    </row>
    <row r="214" spans="1:22">
      <c r="A214" t="s">
        <v>715</v>
      </c>
      <c r="B214" t="s">
        <v>716</v>
      </c>
      <c r="C214" s="9">
        <v>30384</v>
      </c>
      <c r="D214">
        <f ca="1">IF(Table2[[#This Row],[Tgl Lahir]]="","Unknown",DATEDIF(Table2[[#This Row],[Tgl Lahir]],TODAY(),"Y"))</f>
        <v>43</v>
      </c>
      <c r="E214" s="9">
        <v>38554</v>
      </c>
      <c r="F214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21 tahun 2 bulan</v>
      </c>
      <c r="G214" t="s">
        <v>540</v>
      </c>
      <c r="H214" t="s">
        <v>705</v>
      </c>
      <c r="I214" t="s">
        <v>708</v>
      </c>
      <c r="J214" t="s">
        <v>711</v>
      </c>
      <c r="K214" t="s">
        <v>717</v>
      </c>
      <c r="L214" t="str">
        <f>_xlfn.TEXTJOIN("/",TRUE,Table2[[#This Row],[Departemen]:[Unit]])</f>
        <v>Quality &amp; Compliance/Quality Assurance &amp; Control/Laboratory/Chemical Analysis</v>
      </c>
      <c r="M214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30-08-012-011</v>
      </c>
      <c r="N214" t="s">
        <v>718</v>
      </c>
      <c r="O214" t="str">
        <f>IFERROR(VLOOKUP(Table2[[#This Row],[Atasan]],Table2[[#All],[Hierarchy]:[Kode Posisi]],2,FALSE),"")</f>
        <v>30-08-012-048</v>
      </c>
      <c r="P214" t="s">
        <v>27</v>
      </c>
      <c r="S214" t="str">
        <f>IFERROR(VLOOKUP(Table2[[#This Row],[ID Karyawan]],[1]!Table4[[#All],[Nik]:[Placement]],37,FALSE),"")</f>
        <v/>
      </c>
      <c r="T214" t="s">
        <v>121</v>
      </c>
      <c r="U214" t="s">
        <v>719</v>
      </c>
      <c r="V214" t="s">
        <v>720</v>
      </c>
    </row>
    <row r="215" spans="1:22">
      <c r="A215" t="s">
        <v>721</v>
      </c>
      <c r="B215" t="s">
        <v>722</v>
      </c>
      <c r="C215" s="9">
        <v>30307</v>
      </c>
      <c r="D215">
        <f ca="1">IF(Table2[[#This Row],[Tgl Lahir]]="","Unknown",DATEDIF(Table2[[#This Row],[Tgl Lahir]],TODAY(),"Y"))</f>
        <v>43</v>
      </c>
      <c r="E215" s="9">
        <v>38513</v>
      </c>
      <c r="F215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21 tahun 4 bulan</v>
      </c>
      <c r="G215" t="s">
        <v>723</v>
      </c>
      <c r="H215" t="s">
        <v>705</v>
      </c>
      <c r="I215" t="s">
        <v>708</v>
      </c>
      <c r="J215" t="s">
        <v>711</v>
      </c>
      <c r="K215" t="s">
        <v>717</v>
      </c>
      <c r="L215" t="str">
        <f>_xlfn.TEXTJOIN("/",TRUE,Table2[[#This Row],[Departemen]:[Unit]])</f>
        <v>Quality &amp; Compliance/Quality Assurance &amp; Control/Laboratory/Chemical Analysis</v>
      </c>
      <c r="M215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30-08-012-011</v>
      </c>
      <c r="N215" t="s">
        <v>718</v>
      </c>
      <c r="O215" t="str">
        <f>IFERROR(VLOOKUP(Table2[[#This Row],[Atasan]],Table2[[#All],[Hierarchy]:[Kode Posisi]],2,FALSE),"")</f>
        <v>30-08-012-048</v>
      </c>
      <c r="P215" t="s">
        <v>27</v>
      </c>
      <c r="S215" t="str">
        <f>IFERROR(VLOOKUP(Table2[[#This Row],[ID Karyawan]],[1]!Table4[[#All],[Nik]:[Placement]],37,FALSE),"")</f>
        <v/>
      </c>
      <c r="T215" t="s">
        <v>121</v>
      </c>
      <c r="U215" t="s">
        <v>262</v>
      </c>
      <c r="V215" t="s">
        <v>263</v>
      </c>
    </row>
    <row r="216" spans="1:22">
      <c r="A216" t="s">
        <v>724</v>
      </c>
      <c r="B216" t="s">
        <v>725</v>
      </c>
      <c r="C216" s="9">
        <v>30604</v>
      </c>
      <c r="D216">
        <f ca="1">IF(Table2[[#This Row],[Tgl Lahir]]="","Unknown",DATEDIF(Table2[[#This Row],[Tgl Lahir]],TODAY(),"Y"))</f>
        <v>42</v>
      </c>
      <c r="E216" s="9">
        <v>38887</v>
      </c>
      <c r="F216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20 tahun 3 bulan</v>
      </c>
      <c r="G216" t="s">
        <v>723</v>
      </c>
      <c r="H216" t="s">
        <v>705</v>
      </c>
      <c r="I216" t="s">
        <v>708</v>
      </c>
      <c r="J216" t="s">
        <v>711</v>
      </c>
      <c r="K216" t="s">
        <v>717</v>
      </c>
      <c r="L216" t="str">
        <f>_xlfn.TEXTJOIN("/",TRUE,Table2[[#This Row],[Departemen]:[Unit]])</f>
        <v>Quality &amp; Compliance/Quality Assurance &amp; Control/Laboratory/Chemical Analysis</v>
      </c>
      <c r="M216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30-08-012-011</v>
      </c>
      <c r="N216" t="s">
        <v>718</v>
      </c>
      <c r="O216" t="str">
        <f>IFERROR(VLOOKUP(Table2[[#This Row],[Atasan]],Table2[[#All],[Hierarchy]:[Kode Posisi]],2,FALSE),"")</f>
        <v>30-08-012-048</v>
      </c>
      <c r="P216" t="s">
        <v>27</v>
      </c>
      <c r="S216" t="str">
        <f>IFERROR(VLOOKUP(Table2[[#This Row],[ID Karyawan]],[1]!Table4[[#All],[Nik]:[Placement]],37,FALSE),"")</f>
        <v/>
      </c>
      <c r="T216" t="s">
        <v>74</v>
      </c>
      <c r="U216" t="s">
        <v>726</v>
      </c>
      <c r="V216" t="s">
        <v>727</v>
      </c>
    </row>
    <row r="217" spans="1:22">
      <c r="A217" t="s">
        <v>728</v>
      </c>
      <c r="B217" t="s">
        <v>729</v>
      </c>
      <c r="C217" s="9">
        <v>32044</v>
      </c>
      <c r="D217">
        <f ca="1">IF(Table2[[#This Row],[Tgl Lahir]]="","Unknown",DATEDIF(Table2[[#This Row],[Tgl Lahir]],TODAY(),"Y"))</f>
        <v>39</v>
      </c>
      <c r="E217" s="9">
        <v>40287</v>
      </c>
      <c r="F217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16 tahun 5 bulan</v>
      </c>
      <c r="G217" t="s">
        <v>723</v>
      </c>
      <c r="H217" t="s">
        <v>705</v>
      </c>
      <c r="I217" t="s">
        <v>708</v>
      </c>
      <c r="J217" t="s">
        <v>711</v>
      </c>
      <c r="K217" t="s">
        <v>717</v>
      </c>
      <c r="L217" t="str">
        <f>_xlfn.TEXTJOIN("/",TRUE,Table2[[#This Row],[Departemen]:[Unit]])</f>
        <v>Quality &amp; Compliance/Quality Assurance &amp; Control/Laboratory/Chemical Analysis</v>
      </c>
      <c r="M217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30-08-012-011</v>
      </c>
      <c r="N217" t="s">
        <v>718</v>
      </c>
      <c r="O217" t="str">
        <f>IFERROR(VLOOKUP(Table2[[#This Row],[Atasan]],Table2[[#All],[Hierarchy]:[Kode Posisi]],2,FALSE),"")</f>
        <v>30-08-012-048</v>
      </c>
      <c r="P217" t="s">
        <v>27</v>
      </c>
      <c r="S217" t="str">
        <f>IFERROR(VLOOKUP(Table2[[#This Row],[ID Karyawan]],[1]!Table4[[#All],[Nik]:[Placement]],37,FALSE),"")</f>
        <v/>
      </c>
      <c r="T217" t="s">
        <v>121</v>
      </c>
      <c r="U217" t="s">
        <v>730</v>
      </c>
      <c r="V217" t="s">
        <v>731</v>
      </c>
    </row>
    <row r="218" spans="1:22">
      <c r="A218" t="s">
        <v>732</v>
      </c>
      <c r="B218" t="s">
        <v>733</v>
      </c>
      <c r="C218" s="9">
        <v>32622</v>
      </c>
      <c r="D218">
        <f ca="1">IF(Table2[[#This Row],[Tgl Lahir]]="","Unknown",DATEDIF(Table2[[#This Row],[Tgl Lahir]],TODAY(),"Y"))</f>
        <v>37</v>
      </c>
      <c r="E218" s="9">
        <v>40686</v>
      </c>
      <c r="F218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15 tahun 4 bulan</v>
      </c>
      <c r="G218" t="s">
        <v>723</v>
      </c>
      <c r="H218" t="s">
        <v>705</v>
      </c>
      <c r="I218" t="s">
        <v>708</v>
      </c>
      <c r="J218" t="s">
        <v>711</v>
      </c>
      <c r="K218" t="s">
        <v>717</v>
      </c>
      <c r="L218" t="str">
        <f>_xlfn.TEXTJOIN("/",TRUE,Table2[[#This Row],[Departemen]:[Unit]])</f>
        <v>Quality &amp; Compliance/Quality Assurance &amp; Control/Laboratory/Chemical Analysis</v>
      </c>
      <c r="M218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30-08-012-011</v>
      </c>
      <c r="N218" t="s">
        <v>718</v>
      </c>
      <c r="O218" t="str">
        <f>IFERROR(VLOOKUP(Table2[[#This Row],[Atasan]],Table2[[#All],[Hierarchy]:[Kode Posisi]],2,FALSE),"")</f>
        <v>30-08-012-048</v>
      </c>
      <c r="P218" t="s">
        <v>27</v>
      </c>
      <c r="S218" t="str">
        <f>IFERROR(VLOOKUP(Table2[[#This Row],[ID Karyawan]],[1]!Table4[[#All],[Nik]:[Placement]],37,FALSE),"")</f>
        <v/>
      </c>
      <c r="T218" t="s">
        <v>74</v>
      </c>
      <c r="U218" t="s">
        <v>734</v>
      </c>
      <c r="V218" t="s">
        <v>735</v>
      </c>
    </row>
    <row r="219" spans="1:22">
      <c r="A219" t="s">
        <v>736</v>
      </c>
      <c r="B219" t="s">
        <v>737</v>
      </c>
      <c r="C219" s="9">
        <v>36986</v>
      </c>
      <c r="D219">
        <f ca="1">IF(Table2[[#This Row],[Tgl Lahir]]="","Unknown",DATEDIF(Table2[[#This Row],[Tgl Lahir]],TODAY(),"Y"))</f>
        <v>25</v>
      </c>
      <c r="E219" s="9">
        <v>43678</v>
      </c>
      <c r="F219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7 tahun 2 bulan</v>
      </c>
      <c r="G219" t="s">
        <v>723</v>
      </c>
      <c r="H219" t="s">
        <v>705</v>
      </c>
      <c r="I219" t="s">
        <v>708</v>
      </c>
      <c r="J219" t="s">
        <v>711</v>
      </c>
      <c r="K219" t="s">
        <v>717</v>
      </c>
      <c r="L219" t="str">
        <f>_xlfn.TEXTJOIN("/",TRUE,Table2[[#This Row],[Departemen]:[Unit]])</f>
        <v>Quality &amp; Compliance/Quality Assurance &amp; Control/Laboratory/Chemical Analysis</v>
      </c>
      <c r="M219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30-08-012-011</v>
      </c>
      <c r="N219" t="s">
        <v>718</v>
      </c>
      <c r="O219" t="str">
        <f>IFERROR(VLOOKUP(Table2[[#This Row],[Atasan]],Table2[[#All],[Hierarchy]:[Kode Posisi]],2,FALSE),"")</f>
        <v>30-08-012-048</v>
      </c>
      <c r="P219" t="s">
        <v>27</v>
      </c>
      <c r="S219" t="str">
        <f>IFERROR(VLOOKUP(Table2[[#This Row],[ID Karyawan]],[1]!Table4[[#All],[Nik]:[Placement]],37,FALSE),"")</f>
        <v/>
      </c>
      <c r="T219" t="s">
        <v>74</v>
      </c>
      <c r="U219">
        <v>0</v>
      </c>
      <c r="V219">
        <v>0</v>
      </c>
    </row>
    <row r="220" spans="1:22">
      <c r="A220" t="s">
        <v>738</v>
      </c>
      <c r="B220" t="s">
        <v>739</v>
      </c>
      <c r="C220" s="9">
        <v>37123</v>
      </c>
      <c r="D220">
        <f ca="1">IF(Table2[[#This Row],[Tgl Lahir]]="","Unknown",DATEDIF(Table2[[#This Row],[Tgl Lahir]],TODAY(),"Y"))</f>
        <v>25</v>
      </c>
      <c r="E220" s="9">
        <v>45790</v>
      </c>
      <c r="F220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 tahun 5 bulan</v>
      </c>
      <c r="G220" t="s">
        <v>101</v>
      </c>
      <c r="H220" t="s">
        <v>705</v>
      </c>
      <c r="I220" t="s">
        <v>708</v>
      </c>
      <c r="J220" t="s">
        <v>711</v>
      </c>
      <c r="K220" t="s">
        <v>717</v>
      </c>
      <c r="L220" t="str">
        <f>_xlfn.TEXTJOIN("/",TRUE,Table2[[#This Row],[Departemen]:[Unit]])</f>
        <v>Quality &amp; Compliance/Quality Assurance &amp; Control/Laboratory/Chemical Analysis</v>
      </c>
      <c r="M220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30-08-012-011</v>
      </c>
      <c r="N220" t="s">
        <v>718</v>
      </c>
      <c r="O220" t="str">
        <f>IFERROR(VLOOKUP(Table2[[#This Row],[Atasan]],Table2[[#All],[Hierarchy]:[Kode Posisi]],2,FALSE),"")</f>
        <v>30-08-012-048</v>
      </c>
      <c r="P220" t="s">
        <v>27</v>
      </c>
      <c r="S220" t="str">
        <f>IFERROR(VLOOKUP(Table2[[#This Row],[ID Karyawan]],[1]!Table4[[#All],[Nik]:[Placement]],37,FALSE),"")</f>
        <v/>
      </c>
      <c r="T220" t="s">
        <v>41</v>
      </c>
      <c r="U220" t="s">
        <v>506</v>
      </c>
      <c r="V220" t="s">
        <v>740</v>
      </c>
    </row>
    <row r="221" spans="1:22">
      <c r="A221" t="s">
        <v>741</v>
      </c>
      <c r="B221" t="s">
        <v>742</v>
      </c>
      <c r="C221" s="9">
        <v>37975</v>
      </c>
      <c r="D221">
        <f ca="1">IF(Table2[[#This Row],[Tgl Lahir]]="","Unknown",DATEDIF(Table2[[#This Row],[Tgl Lahir]],TODAY(),"Y"))</f>
        <v>22</v>
      </c>
      <c r="E221" s="9">
        <v>45831</v>
      </c>
      <c r="F221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 tahun 3 bulan</v>
      </c>
      <c r="G221" t="s">
        <v>723</v>
      </c>
      <c r="H221" t="s">
        <v>705</v>
      </c>
      <c r="I221" t="s">
        <v>708</v>
      </c>
      <c r="J221" t="s">
        <v>711</v>
      </c>
      <c r="K221" t="s">
        <v>717</v>
      </c>
      <c r="L221" t="str">
        <f>_xlfn.TEXTJOIN("/",TRUE,Table2[[#This Row],[Departemen]:[Unit]])</f>
        <v>Quality &amp; Compliance/Quality Assurance &amp; Control/Laboratory/Chemical Analysis</v>
      </c>
      <c r="M221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30-08-012-011</v>
      </c>
      <c r="N221" t="s">
        <v>718</v>
      </c>
      <c r="O221" t="str">
        <f>IFERROR(VLOOKUP(Table2[[#This Row],[Atasan]],Table2[[#All],[Hierarchy]:[Kode Posisi]],2,FALSE),"")</f>
        <v>30-08-012-048</v>
      </c>
      <c r="P221" t="s">
        <v>27</v>
      </c>
      <c r="S221" t="str">
        <f>IFERROR(VLOOKUP(Table2[[#This Row],[ID Karyawan]],[1]!Table4[[#All],[Nik]:[Placement]],37,FALSE),"")</f>
        <v/>
      </c>
      <c r="T221" t="s">
        <v>41</v>
      </c>
      <c r="U221" t="s">
        <v>743</v>
      </c>
      <c r="V221" t="s">
        <v>744</v>
      </c>
    </row>
    <row r="222" spans="1:22">
      <c r="A222" t="s">
        <v>745</v>
      </c>
      <c r="B222" t="s">
        <v>746</v>
      </c>
      <c r="C222" s="9">
        <v>36386</v>
      </c>
      <c r="D222">
        <f ca="1">IF(Table2[[#This Row],[Tgl Lahir]]="","Unknown",DATEDIF(Table2[[#This Row],[Tgl Lahir]],TODAY(),"Y"))</f>
        <v>27</v>
      </c>
      <c r="E222" s="9">
        <v>46153</v>
      </c>
      <c r="F222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5 bulan</v>
      </c>
      <c r="G222" t="s">
        <v>723</v>
      </c>
      <c r="H222" t="s">
        <v>705</v>
      </c>
      <c r="I222" t="s">
        <v>708</v>
      </c>
      <c r="J222" t="s">
        <v>711</v>
      </c>
      <c r="K222" t="s">
        <v>717</v>
      </c>
      <c r="L222" t="str">
        <f>_xlfn.TEXTJOIN("/",TRUE,Table2[[#This Row],[Departemen]:[Unit]])</f>
        <v>Quality &amp; Compliance/Quality Assurance &amp; Control/Laboratory/Chemical Analysis</v>
      </c>
      <c r="M222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30-08-012-011</v>
      </c>
      <c r="N222" t="s">
        <v>718</v>
      </c>
      <c r="O222" t="str">
        <f>IFERROR(VLOOKUP(Table2[[#This Row],[Atasan]],Table2[[#All],[Hierarchy]:[Kode Posisi]],2,FALSE),"")</f>
        <v>30-08-012-048</v>
      </c>
      <c r="P222" t="s">
        <v>27</v>
      </c>
      <c r="S222" t="str">
        <f>IFERROR(VLOOKUP(Table2[[#This Row],[ID Karyawan]],[1]!Table4[[#All],[Nik]:[Placement]],37,FALSE),"")</f>
        <v/>
      </c>
      <c r="T222" t="s">
        <v>121</v>
      </c>
      <c r="U222" t="s">
        <v>506</v>
      </c>
      <c r="V222" t="s">
        <v>747</v>
      </c>
    </row>
    <row r="223" spans="1:22">
      <c r="A223" t="s">
        <v>748</v>
      </c>
      <c r="B223" t="s">
        <v>749</v>
      </c>
      <c r="C223" s="9">
        <v>29000</v>
      </c>
      <c r="D223">
        <f ca="1">IF(Table2[[#This Row],[Tgl Lahir]]="","Unknown",DATEDIF(Table2[[#This Row],[Tgl Lahir]],TODAY(),"Y"))</f>
        <v>47</v>
      </c>
      <c r="E223" s="9">
        <v>37634</v>
      </c>
      <c r="F223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23 tahun 9 bulan</v>
      </c>
      <c r="G223" t="s">
        <v>540</v>
      </c>
      <c r="H223" t="s">
        <v>705</v>
      </c>
      <c r="I223" t="s">
        <v>708</v>
      </c>
      <c r="J223" t="s">
        <v>711</v>
      </c>
      <c r="K223" t="s">
        <v>750</v>
      </c>
      <c r="L223" t="str">
        <f>_xlfn.TEXTJOIN("/",TRUE,Table2[[#This Row],[Departemen]:[Unit]])</f>
        <v>Quality &amp; Compliance/Quality Assurance &amp; Control/Laboratory/Microbiology Analysis</v>
      </c>
      <c r="M223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30-08-012-012</v>
      </c>
      <c r="N223" t="s">
        <v>718</v>
      </c>
      <c r="O223" t="str">
        <f>IFERROR(VLOOKUP(Table2[[#This Row],[Atasan]],Table2[[#All],[Hierarchy]:[Kode Posisi]],2,FALSE),"")</f>
        <v>30-08-012-048</v>
      </c>
      <c r="P223" t="s">
        <v>27</v>
      </c>
      <c r="S223" t="str">
        <f>IFERROR(VLOOKUP(Table2[[#This Row],[ID Karyawan]],[1]!Table4[[#All],[Nik]:[Placement]],37,FALSE),"")</f>
        <v/>
      </c>
      <c r="T223" t="s">
        <v>121</v>
      </c>
      <c r="U223" t="s">
        <v>751</v>
      </c>
      <c r="V223" t="s">
        <v>752</v>
      </c>
    </row>
    <row r="224" spans="1:22">
      <c r="A224" t="s">
        <v>753</v>
      </c>
      <c r="B224" t="s">
        <v>754</v>
      </c>
      <c r="C224" s="9">
        <v>28207</v>
      </c>
      <c r="D224">
        <f ca="1">IF(Table2[[#This Row],[Tgl Lahir]]="","Unknown",DATEDIF(Table2[[#This Row],[Tgl Lahir]],TODAY(),"Y"))</f>
        <v>49</v>
      </c>
      <c r="E224" s="9">
        <v>35559</v>
      </c>
      <c r="F224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5 bulan</v>
      </c>
      <c r="G224" t="s">
        <v>723</v>
      </c>
      <c r="H224" t="s">
        <v>705</v>
      </c>
      <c r="I224" t="s">
        <v>708</v>
      </c>
      <c r="J224" t="s">
        <v>711</v>
      </c>
      <c r="K224" t="s">
        <v>750</v>
      </c>
      <c r="L224" t="str">
        <f>_xlfn.TEXTJOIN("/",TRUE,Table2[[#This Row],[Departemen]:[Unit]])</f>
        <v>Quality &amp; Compliance/Quality Assurance &amp; Control/Laboratory/Microbiology Analysis</v>
      </c>
      <c r="M224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30-08-012-012</v>
      </c>
      <c r="N224" t="s">
        <v>718</v>
      </c>
      <c r="O224" t="str">
        <f>IFERROR(VLOOKUP(Table2[[#This Row],[Atasan]],Table2[[#All],[Hierarchy]:[Kode Posisi]],2,FALSE),"")</f>
        <v>30-08-012-048</v>
      </c>
      <c r="P224" t="s">
        <v>27</v>
      </c>
      <c r="S224" t="str">
        <f>IFERROR(VLOOKUP(Table2[[#This Row],[ID Karyawan]],[1]!Table4[[#All],[Nik]:[Placement]],37,FALSE),"")</f>
        <v/>
      </c>
      <c r="T224" t="s">
        <v>74</v>
      </c>
      <c r="U224">
        <v>0</v>
      </c>
      <c r="V224">
        <v>0</v>
      </c>
    </row>
    <row r="225" spans="1:22">
      <c r="A225" t="s">
        <v>755</v>
      </c>
      <c r="B225" t="s">
        <v>756</v>
      </c>
      <c r="C225" s="9">
        <v>30544</v>
      </c>
      <c r="D225">
        <f ca="1">IF(Table2[[#This Row],[Tgl Lahir]]="","Unknown",DATEDIF(Table2[[#This Row],[Tgl Lahir]],TODAY(),"Y"))</f>
        <v>43</v>
      </c>
      <c r="E225" s="9">
        <v>38380</v>
      </c>
      <c r="F225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21 tahun 8 bulan</v>
      </c>
      <c r="G225" t="s">
        <v>723</v>
      </c>
      <c r="H225" t="s">
        <v>705</v>
      </c>
      <c r="I225" t="s">
        <v>708</v>
      </c>
      <c r="J225" t="s">
        <v>711</v>
      </c>
      <c r="K225" t="s">
        <v>750</v>
      </c>
      <c r="L225" t="str">
        <f>_xlfn.TEXTJOIN("/",TRUE,Table2[[#This Row],[Departemen]:[Unit]])</f>
        <v>Quality &amp; Compliance/Quality Assurance &amp; Control/Laboratory/Microbiology Analysis</v>
      </c>
      <c r="M225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30-08-012-012</v>
      </c>
      <c r="N225" t="s">
        <v>718</v>
      </c>
      <c r="O225" t="str">
        <f>IFERROR(VLOOKUP(Table2[[#This Row],[Atasan]],Table2[[#All],[Hierarchy]:[Kode Posisi]],2,FALSE),"")</f>
        <v>30-08-012-048</v>
      </c>
      <c r="P225" t="s">
        <v>27</v>
      </c>
      <c r="S225" t="str">
        <f>IFERROR(VLOOKUP(Table2[[#This Row],[ID Karyawan]],[1]!Table4[[#All],[Nik]:[Placement]],37,FALSE),"")</f>
        <v/>
      </c>
      <c r="T225" t="s">
        <v>121</v>
      </c>
      <c r="U225" t="s">
        <v>262</v>
      </c>
      <c r="V225" t="s">
        <v>263</v>
      </c>
    </row>
    <row r="226" spans="1:22">
      <c r="A226" t="s">
        <v>757</v>
      </c>
      <c r="B226" t="s">
        <v>758</v>
      </c>
      <c r="C226" s="9">
        <v>30283</v>
      </c>
      <c r="D226">
        <f ca="1">IF(Table2[[#This Row],[Tgl Lahir]]="","Unknown",DATEDIF(Table2[[#This Row],[Tgl Lahir]],TODAY(),"Y"))</f>
        <v>43</v>
      </c>
      <c r="E226" s="9">
        <v>38961</v>
      </c>
      <c r="F226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20 tahun 1 bulan</v>
      </c>
      <c r="G226" t="s">
        <v>723</v>
      </c>
      <c r="H226" t="s">
        <v>705</v>
      </c>
      <c r="I226" t="s">
        <v>708</v>
      </c>
      <c r="J226" t="s">
        <v>711</v>
      </c>
      <c r="K226" t="s">
        <v>750</v>
      </c>
      <c r="L226" t="str">
        <f>_xlfn.TEXTJOIN("/",TRUE,Table2[[#This Row],[Departemen]:[Unit]])</f>
        <v>Quality &amp; Compliance/Quality Assurance &amp; Control/Laboratory/Microbiology Analysis</v>
      </c>
      <c r="M226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30-08-012-012</v>
      </c>
      <c r="N226" t="s">
        <v>718</v>
      </c>
      <c r="O226" t="str">
        <f>IFERROR(VLOOKUP(Table2[[#This Row],[Atasan]],Table2[[#All],[Hierarchy]:[Kode Posisi]],2,FALSE),"")</f>
        <v>30-08-012-048</v>
      </c>
      <c r="P226" t="s">
        <v>27</v>
      </c>
      <c r="S226" t="str">
        <f>IFERROR(VLOOKUP(Table2[[#This Row],[ID Karyawan]],[1]!Table4[[#All],[Nik]:[Placement]],37,FALSE),"")</f>
        <v/>
      </c>
      <c r="T226" t="s">
        <v>74</v>
      </c>
      <c r="U226" t="s">
        <v>506</v>
      </c>
      <c r="V226" t="s">
        <v>759</v>
      </c>
    </row>
    <row r="227" spans="1:22">
      <c r="A227" t="s">
        <v>760</v>
      </c>
      <c r="B227" t="s">
        <v>761</v>
      </c>
      <c r="C227" s="9">
        <v>35323</v>
      </c>
      <c r="D227">
        <f ca="1">IF(Table2[[#This Row],[Tgl Lahir]]="","Unknown",DATEDIF(Table2[[#This Row],[Tgl Lahir]],TODAY(),"Y"))</f>
        <v>30</v>
      </c>
      <c r="E227" s="9">
        <v>43151</v>
      </c>
      <c r="F227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8 tahun 7 bulan</v>
      </c>
      <c r="G227" t="s">
        <v>723</v>
      </c>
      <c r="H227" t="s">
        <v>705</v>
      </c>
      <c r="I227" t="s">
        <v>708</v>
      </c>
      <c r="J227" t="s">
        <v>711</v>
      </c>
      <c r="K227" t="s">
        <v>750</v>
      </c>
      <c r="L227" t="str">
        <f>_xlfn.TEXTJOIN("/",TRUE,Table2[[#This Row],[Departemen]:[Unit]])</f>
        <v>Quality &amp; Compliance/Quality Assurance &amp; Control/Laboratory/Microbiology Analysis</v>
      </c>
      <c r="M227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30-08-012-012</v>
      </c>
      <c r="N227" t="s">
        <v>718</v>
      </c>
      <c r="O227" t="str">
        <f>IFERROR(VLOOKUP(Table2[[#This Row],[Atasan]],Table2[[#All],[Hierarchy]:[Kode Posisi]],2,FALSE),"")</f>
        <v>30-08-012-048</v>
      </c>
      <c r="P227" t="s">
        <v>27</v>
      </c>
      <c r="S227" t="str">
        <f>IFERROR(VLOOKUP(Table2[[#This Row],[ID Karyawan]],[1]!Table4[[#All],[Nik]:[Placement]],37,FALSE),"")</f>
        <v/>
      </c>
      <c r="T227" t="s">
        <v>121</v>
      </c>
      <c r="U227" t="s">
        <v>743</v>
      </c>
      <c r="V227" t="s">
        <v>246</v>
      </c>
    </row>
    <row r="228" spans="1:22">
      <c r="A228" t="s">
        <v>762</v>
      </c>
      <c r="B228" t="s">
        <v>763</v>
      </c>
      <c r="C228" s="9">
        <v>28851</v>
      </c>
      <c r="D228">
        <f ca="1">IF(Table2[[#This Row],[Tgl Lahir]]="","Unknown",DATEDIF(Table2[[#This Row],[Tgl Lahir]],TODAY(),"Y"))</f>
        <v>47</v>
      </c>
      <c r="E228" s="9">
        <v>35646</v>
      </c>
      <c r="F228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2 bulan</v>
      </c>
      <c r="G228" t="s">
        <v>101</v>
      </c>
      <c r="H228" t="s">
        <v>705</v>
      </c>
      <c r="I228" t="s">
        <v>708</v>
      </c>
      <c r="J228" t="s">
        <v>711</v>
      </c>
      <c r="K228" t="s">
        <v>764</v>
      </c>
      <c r="L228" t="str">
        <f>_xlfn.TEXTJOIN("/",TRUE,Table2[[#This Row],[Departemen]:[Unit]])</f>
        <v>Quality &amp; Compliance/Quality Assurance &amp; Control/Laboratory/Organoleptic Analysis</v>
      </c>
      <c r="M228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30-08-012-013</v>
      </c>
      <c r="N228" t="s">
        <v>718</v>
      </c>
      <c r="O228" t="str">
        <f>IFERROR(VLOOKUP(Table2[[#This Row],[Atasan]],Table2[[#All],[Hierarchy]:[Kode Posisi]],2,FALSE),"")</f>
        <v>30-08-012-048</v>
      </c>
      <c r="P228" t="s">
        <v>27</v>
      </c>
      <c r="S228" t="str">
        <f>IFERROR(VLOOKUP(Table2[[#This Row],[ID Karyawan]],[1]!Table4[[#All],[Nik]:[Placement]],37,FALSE),"")</f>
        <v/>
      </c>
      <c r="T228" t="s">
        <v>74</v>
      </c>
      <c r="U228">
        <v>0</v>
      </c>
      <c r="V228">
        <v>0</v>
      </c>
    </row>
    <row r="229" spans="1:22">
      <c r="A229" t="s">
        <v>765</v>
      </c>
      <c r="B229" t="s">
        <v>766</v>
      </c>
      <c r="C229" s="9">
        <v>32633</v>
      </c>
      <c r="D229">
        <f ca="1">IF(Table2[[#This Row],[Tgl Lahir]]="","Unknown",DATEDIF(Table2[[#This Row],[Tgl Lahir]],TODAY(),"Y"))</f>
        <v>37</v>
      </c>
      <c r="E229" s="9">
        <v>40807</v>
      </c>
      <c r="F229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15 tahun 0 bulan</v>
      </c>
      <c r="G229" t="s">
        <v>723</v>
      </c>
      <c r="H229" t="s">
        <v>705</v>
      </c>
      <c r="I229" t="s">
        <v>708</v>
      </c>
      <c r="J229" t="s">
        <v>711</v>
      </c>
      <c r="K229" t="s">
        <v>764</v>
      </c>
      <c r="L229" t="str">
        <f>_xlfn.TEXTJOIN("/",TRUE,Table2[[#This Row],[Departemen]:[Unit]])</f>
        <v>Quality &amp; Compliance/Quality Assurance &amp; Control/Laboratory/Organoleptic Analysis</v>
      </c>
      <c r="M229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30-08-012-013</v>
      </c>
      <c r="N229" t="s">
        <v>718</v>
      </c>
      <c r="O229" t="str">
        <f>IFERROR(VLOOKUP(Table2[[#This Row],[Atasan]],Table2[[#All],[Hierarchy]:[Kode Posisi]],2,FALSE),"")</f>
        <v>30-08-012-048</v>
      </c>
      <c r="P229" t="s">
        <v>27</v>
      </c>
      <c r="S229" t="str">
        <f>IFERROR(VLOOKUP(Table2[[#This Row],[ID Karyawan]],[1]!Table4[[#All],[Nik]:[Placement]],37,FALSE),"")</f>
        <v/>
      </c>
      <c r="T229" t="s">
        <v>74</v>
      </c>
      <c r="U229">
        <v>0</v>
      </c>
      <c r="V229">
        <v>0</v>
      </c>
    </row>
    <row r="230" spans="1:22">
      <c r="A230" t="s">
        <v>767</v>
      </c>
      <c r="B230" t="s">
        <v>768</v>
      </c>
      <c r="C230" s="9">
        <v>35730</v>
      </c>
      <c r="D230">
        <f ca="1">IF(Table2[[#This Row],[Tgl Lahir]]="","Unknown",DATEDIF(Table2[[#This Row],[Tgl Lahir]],TODAY(),"Y"))</f>
        <v>28</v>
      </c>
      <c r="E230" s="9">
        <v>44809</v>
      </c>
      <c r="F230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tahun 1 bulan</v>
      </c>
      <c r="G230" t="s">
        <v>77</v>
      </c>
      <c r="H230" t="s">
        <v>705</v>
      </c>
      <c r="I230" t="s">
        <v>708</v>
      </c>
      <c r="J230" t="s">
        <v>711</v>
      </c>
      <c r="K230" t="s">
        <v>711</v>
      </c>
      <c r="L230" t="str">
        <f>_xlfn.TEXTJOIN("/",TRUE,Table2[[#This Row],[Departemen]:[Unit]])</f>
        <v>Quality &amp; Compliance/Quality Assurance &amp; Control/Laboratory/Laboratory</v>
      </c>
      <c r="M230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30-08-012-048</v>
      </c>
      <c r="N230" t="s">
        <v>769</v>
      </c>
      <c r="O230" t="str">
        <f>IFERROR(VLOOKUP(Table2[[#This Row],[Atasan]],Table2[[#All],[Hierarchy]:[Kode Posisi]],2,FALSE),"")</f>
        <v>30-08-012-000</v>
      </c>
      <c r="P230" t="s">
        <v>27</v>
      </c>
      <c r="S230" t="str">
        <f>IFERROR(VLOOKUP(Table2[[#This Row],[ID Karyawan]],[1]!Table4[[#All],[Nik]:[Placement]],37,FALSE),"")</f>
        <v/>
      </c>
      <c r="T230" t="s">
        <v>770</v>
      </c>
      <c r="U230" t="s">
        <v>743</v>
      </c>
      <c r="V230" t="s">
        <v>744</v>
      </c>
    </row>
    <row r="231" spans="1:22">
      <c r="A231" t="s">
        <v>771</v>
      </c>
      <c r="B231" t="s">
        <v>772</v>
      </c>
      <c r="C231" s="9">
        <v>37737</v>
      </c>
      <c r="D231">
        <f ca="1">IF(Table2[[#This Row],[Tgl Lahir]]="","Unknown",DATEDIF(Table2[[#This Row],[Tgl Lahir]],TODAY(),"Y"))</f>
        <v>23</v>
      </c>
      <c r="E231" s="9">
        <v>46050</v>
      </c>
      <c r="F231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8 bulan</v>
      </c>
      <c r="G231" t="s">
        <v>523</v>
      </c>
      <c r="H231" t="s">
        <v>705</v>
      </c>
      <c r="I231" t="s">
        <v>708</v>
      </c>
      <c r="J231" t="s">
        <v>711</v>
      </c>
      <c r="K231" t="s">
        <v>711</v>
      </c>
      <c r="L231" t="str">
        <f>_xlfn.TEXTJOIN("/",TRUE,Table2[[#This Row],[Departemen]:[Unit]])</f>
        <v>Quality &amp; Compliance/Quality Assurance &amp; Control/Laboratory/Laboratory</v>
      </c>
      <c r="M231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30-08-012-048</v>
      </c>
      <c r="N231" t="s">
        <v>769</v>
      </c>
      <c r="O231" t="str">
        <f>IFERROR(VLOOKUP(Table2[[#This Row],[Atasan]],Table2[[#All],[Hierarchy]:[Kode Posisi]],2,FALSE),"")</f>
        <v>30-08-012-000</v>
      </c>
      <c r="P231" t="s">
        <v>27</v>
      </c>
      <c r="S231" t="str">
        <f>IFERROR(VLOOKUP(Table2[[#This Row],[ID Karyawan]],[1]!Table4[[#All],[Nik]:[Placement]],37,FALSE),"")</f>
        <v/>
      </c>
      <c r="T231" t="s">
        <v>41</v>
      </c>
      <c r="U231" t="s">
        <v>743</v>
      </c>
      <c r="V231" t="s">
        <v>744</v>
      </c>
    </row>
    <row r="232" spans="1:22">
      <c r="A232" t="s">
        <v>773</v>
      </c>
      <c r="B232" t="s">
        <v>774</v>
      </c>
      <c r="C232" s="9">
        <v>25456</v>
      </c>
      <c r="D232">
        <f ca="1">IF(Table2[[#This Row],[Tgl Lahir]]="","Unknown",DATEDIF(Table2[[#This Row],[Tgl Lahir]],TODAY(),"Y"))</f>
        <v>57</v>
      </c>
      <c r="E232" s="9">
        <v>35653</v>
      </c>
      <c r="F232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2 bulan</v>
      </c>
      <c r="G232" t="s">
        <v>71</v>
      </c>
      <c r="H232" t="s">
        <v>705</v>
      </c>
      <c r="I232" t="s">
        <v>708</v>
      </c>
      <c r="J232" t="s">
        <v>775</v>
      </c>
      <c r="L232" t="str">
        <f>_xlfn.TEXTJOIN("/",TRUE,Table2[[#This Row],[Departemen]:[Unit]])</f>
        <v>Quality &amp; Compliance/Quality Assurance &amp; Control/Quality Control</v>
      </c>
      <c r="M232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30-08-013-000</v>
      </c>
      <c r="N232" t="s">
        <v>712</v>
      </c>
      <c r="O232" t="str">
        <f>IFERROR(VLOOKUP(Table2[[#This Row],[Atasan]],Table2[[#All],[Hierarchy]:[Kode Posisi]],2,FALSE),"")</f>
        <v>30-08-000-000</v>
      </c>
      <c r="P232" t="s">
        <v>27</v>
      </c>
      <c r="S232" t="str">
        <f>IFERROR(VLOOKUP(Table2[[#This Row],[ID Karyawan]],[1]!Table4[[#All],[Nik]:[Placement]],37,FALSE),"")</f>
        <v/>
      </c>
      <c r="T232" t="s">
        <v>41</v>
      </c>
      <c r="U232" t="s">
        <v>506</v>
      </c>
      <c r="V232" t="s">
        <v>740</v>
      </c>
    </row>
    <row r="233" spans="1:22">
      <c r="A233" t="s">
        <v>776</v>
      </c>
      <c r="B233" t="s">
        <v>777</v>
      </c>
      <c r="C233" s="9">
        <v>28250</v>
      </c>
      <c r="D233">
        <f ca="1">IF(Table2[[#This Row],[Tgl Lahir]]="","Unknown",DATEDIF(Table2[[#This Row],[Tgl Lahir]],TODAY(),"Y"))</f>
        <v>49</v>
      </c>
      <c r="E233" s="9">
        <v>35520</v>
      </c>
      <c r="F233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6 bulan</v>
      </c>
      <c r="G233" t="s">
        <v>101</v>
      </c>
      <c r="H233" t="s">
        <v>705</v>
      </c>
      <c r="I233" t="s">
        <v>708</v>
      </c>
      <c r="J233" t="s">
        <v>775</v>
      </c>
      <c r="K233" t="s">
        <v>778</v>
      </c>
      <c r="L233" t="str">
        <f>_xlfn.TEXTJOIN("/",TRUE,Table2[[#This Row],[Departemen]:[Unit]])</f>
        <v>Quality &amp; Compliance/Quality Assurance &amp; Control/Quality Control/Physical Analysis</v>
      </c>
      <c r="M233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30-08-013-014</v>
      </c>
      <c r="N233" t="s">
        <v>779</v>
      </c>
      <c r="O233" t="str">
        <f>IFERROR(VLOOKUP(Table2[[#This Row],[Atasan]],Table2[[#All],[Hierarchy]:[Kode Posisi]],2,FALSE),"")</f>
        <v>30-08-013-015</v>
      </c>
      <c r="P233" t="s">
        <v>27</v>
      </c>
      <c r="S233" t="str">
        <f>IFERROR(VLOOKUP(Table2[[#This Row],[ID Karyawan]],[1]!Table4[[#All],[Nik]:[Placement]],37,FALSE),"")</f>
        <v/>
      </c>
      <c r="T233" t="s">
        <v>74</v>
      </c>
      <c r="U233">
        <v>0</v>
      </c>
      <c r="V233">
        <v>0</v>
      </c>
    </row>
    <row r="234" spans="1:22">
      <c r="A234" t="s">
        <v>780</v>
      </c>
      <c r="B234" t="s">
        <v>781</v>
      </c>
      <c r="C234" s="9">
        <v>28430</v>
      </c>
      <c r="D234">
        <f ca="1">IF(Table2[[#This Row],[Tgl Lahir]]="","Unknown",DATEDIF(Table2[[#This Row],[Tgl Lahir]],TODAY(),"Y"))</f>
        <v>48</v>
      </c>
      <c r="E234" s="9">
        <v>35559</v>
      </c>
      <c r="F234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5 bulan</v>
      </c>
      <c r="G234" t="s">
        <v>101</v>
      </c>
      <c r="H234" t="s">
        <v>705</v>
      </c>
      <c r="I234" t="s">
        <v>708</v>
      </c>
      <c r="J234" t="s">
        <v>775</v>
      </c>
      <c r="K234" t="s">
        <v>778</v>
      </c>
      <c r="L234" t="str">
        <f>_xlfn.TEXTJOIN("/",TRUE,Table2[[#This Row],[Departemen]:[Unit]])</f>
        <v>Quality &amp; Compliance/Quality Assurance &amp; Control/Quality Control/Physical Analysis</v>
      </c>
      <c r="M234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30-08-013-014</v>
      </c>
      <c r="N234" t="s">
        <v>779</v>
      </c>
      <c r="O234" t="str">
        <f>IFERROR(VLOOKUP(Table2[[#This Row],[Atasan]],Table2[[#All],[Hierarchy]:[Kode Posisi]],2,FALSE),"")</f>
        <v>30-08-013-015</v>
      </c>
      <c r="P234" t="s">
        <v>27</v>
      </c>
      <c r="S234" t="str">
        <f>IFERROR(VLOOKUP(Table2[[#This Row],[ID Karyawan]],[1]!Table4[[#All],[Nik]:[Placement]],37,FALSE),"")</f>
        <v/>
      </c>
      <c r="T234" t="s">
        <v>41</v>
      </c>
      <c r="U234" t="s">
        <v>117</v>
      </c>
      <c r="V234" t="s">
        <v>782</v>
      </c>
    </row>
    <row r="235" spans="1:22">
      <c r="A235" t="s">
        <v>783</v>
      </c>
      <c r="B235" t="s">
        <v>784</v>
      </c>
      <c r="C235" s="9">
        <v>30141</v>
      </c>
      <c r="D235">
        <f ca="1">IF(Table2[[#This Row],[Tgl Lahir]]="","Unknown",DATEDIF(Table2[[#This Row],[Tgl Lahir]],TODAY(),"Y"))</f>
        <v>44</v>
      </c>
      <c r="E235" s="9">
        <v>38380</v>
      </c>
      <c r="F235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21 tahun 8 bulan</v>
      </c>
      <c r="G235" t="s">
        <v>101</v>
      </c>
      <c r="H235" t="s">
        <v>705</v>
      </c>
      <c r="I235" t="s">
        <v>708</v>
      </c>
      <c r="J235" t="s">
        <v>775</v>
      </c>
      <c r="K235" t="s">
        <v>778</v>
      </c>
      <c r="L235" t="str">
        <f>_xlfn.TEXTJOIN("/",TRUE,Table2[[#This Row],[Departemen]:[Unit]])</f>
        <v>Quality &amp; Compliance/Quality Assurance &amp; Control/Quality Control/Physical Analysis</v>
      </c>
      <c r="M235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30-08-013-014</v>
      </c>
      <c r="N235" t="s">
        <v>779</v>
      </c>
      <c r="O235" t="str">
        <f>IFERROR(VLOOKUP(Table2[[#This Row],[Atasan]],Table2[[#All],[Hierarchy]:[Kode Posisi]],2,FALSE),"")</f>
        <v>30-08-013-015</v>
      </c>
      <c r="P235" t="s">
        <v>27</v>
      </c>
      <c r="S235" t="str">
        <f>IFERROR(VLOOKUP(Table2[[#This Row],[ID Karyawan]],[1]!Table4[[#All],[Nik]:[Placement]],37,FALSE),"")</f>
        <v/>
      </c>
      <c r="T235" t="s">
        <v>121</v>
      </c>
      <c r="U235" t="s">
        <v>262</v>
      </c>
      <c r="V235" t="s">
        <v>263</v>
      </c>
    </row>
    <row r="236" spans="1:22">
      <c r="A236" t="s">
        <v>785</v>
      </c>
      <c r="B236" t="s">
        <v>786</v>
      </c>
      <c r="C236" s="9">
        <v>31213</v>
      </c>
      <c r="D236">
        <f ca="1">IF(Table2[[#This Row],[Tgl Lahir]]="","Unknown",DATEDIF(Table2[[#This Row],[Tgl Lahir]],TODAY(),"Y"))</f>
        <v>41</v>
      </c>
      <c r="E236" s="9">
        <v>38544</v>
      </c>
      <c r="F236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21 tahun 3 bulan</v>
      </c>
      <c r="G236" t="s">
        <v>723</v>
      </c>
      <c r="H236" t="s">
        <v>705</v>
      </c>
      <c r="I236" t="s">
        <v>708</v>
      </c>
      <c r="J236" t="s">
        <v>775</v>
      </c>
      <c r="K236" t="s">
        <v>778</v>
      </c>
      <c r="L236" t="str">
        <f>_xlfn.TEXTJOIN("/",TRUE,Table2[[#This Row],[Departemen]:[Unit]])</f>
        <v>Quality &amp; Compliance/Quality Assurance &amp; Control/Quality Control/Physical Analysis</v>
      </c>
      <c r="M236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30-08-013-014</v>
      </c>
      <c r="N236" t="s">
        <v>779</v>
      </c>
      <c r="O236" t="str">
        <f>IFERROR(VLOOKUP(Table2[[#This Row],[Atasan]],Table2[[#All],[Hierarchy]:[Kode Posisi]],2,FALSE),"")</f>
        <v>30-08-013-015</v>
      </c>
      <c r="P236" t="s">
        <v>27</v>
      </c>
      <c r="S236" t="str">
        <f>IFERROR(VLOOKUP(Table2[[#This Row],[ID Karyawan]],[1]!Table4[[#All],[Nik]:[Placement]],37,FALSE),"")</f>
        <v/>
      </c>
      <c r="T236" t="s">
        <v>74</v>
      </c>
      <c r="U236">
        <v>0</v>
      </c>
      <c r="V236">
        <v>0</v>
      </c>
    </row>
    <row r="237" spans="1:22">
      <c r="A237" t="s">
        <v>787</v>
      </c>
      <c r="B237" t="s">
        <v>788</v>
      </c>
      <c r="C237" s="9">
        <v>31040</v>
      </c>
      <c r="D237">
        <f ca="1">IF(Table2[[#This Row],[Tgl Lahir]]="","Unknown",DATEDIF(Table2[[#This Row],[Tgl Lahir]],TODAY(),"Y"))</f>
        <v>41</v>
      </c>
      <c r="E237" s="9">
        <v>38749</v>
      </c>
      <c r="F237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20 tahun 8 bulan</v>
      </c>
      <c r="G237" t="s">
        <v>723</v>
      </c>
      <c r="H237" t="s">
        <v>705</v>
      </c>
      <c r="I237" t="s">
        <v>708</v>
      </c>
      <c r="J237" t="s">
        <v>775</v>
      </c>
      <c r="K237" t="s">
        <v>778</v>
      </c>
      <c r="L237" t="str">
        <f>_xlfn.TEXTJOIN("/",TRUE,Table2[[#This Row],[Departemen]:[Unit]])</f>
        <v>Quality &amp; Compliance/Quality Assurance &amp; Control/Quality Control/Physical Analysis</v>
      </c>
      <c r="M237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30-08-013-014</v>
      </c>
      <c r="N237" t="s">
        <v>779</v>
      </c>
      <c r="O237" t="str">
        <f>IFERROR(VLOOKUP(Table2[[#This Row],[Atasan]],Table2[[#All],[Hierarchy]:[Kode Posisi]],2,FALSE),"")</f>
        <v>30-08-013-015</v>
      </c>
      <c r="P237" t="s">
        <v>27</v>
      </c>
      <c r="S237" t="str">
        <f>IFERROR(VLOOKUP(Table2[[#This Row],[ID Karyawan]],[1]!Table4[[#All],[Nik]:[Placement]],37,FALSE),"")</f>
        <v/>
      </c>
      <c r="T237" t="s">
        <v>74</v>
      </c>
      <c r="U237" t="s">
        <v>719</v>
      </c>
      <c r="V237" t="s">
        <v>789</v>
      </c>
    </row>
    <row r="238" spans="1:22">
      <c r="A238" t="s">
        <v>790</v>
      </c>
      <c r="B238" t="s">
        <v>791</v>
      </c>
      <c r="C238" s="9">
        <v>31549</v>
      </c>
      <c r="D238">
        <f ca="1">IF(Table2[[#This Row],[Tgl Lahir]]="","Unknown",DATEDIF(Table2[[#This Row],[Tgl Lahir]],TODAY(),"Y"))</f>
        <v>40</v>
      </c>
      <c r="E238" s="9">
        <v>38749</v>
      </c>
      <c r="F238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20 tahun 8 bulan</v>
      </c>
      <c r="G238" t="s">
        <v>101</v>
      </c>
      <c r="H238" t="s">
        <v>705</v>
      </c>
      <c r="I238" t="s">
        <v>708</v>
      </c>
      <c r="J238" t="s">
        <v>775</v>
      </c>
      <c r="K238" t="s">
        <v>778</v>
      </c>
      <c r="L238" t="str">
        <f>_xlfn.TEXTJOIN("/",TRUE,Table2[[#This Row],[Departemen]:[Unit]])</f>
        <v>Quality &amp; Compliance/Quality Assurance &amp; Control/Quality Control/Physical Analysis</v>
      </c>
      <c r="M238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30-08-013-014</v>
      </c>
      <c r="N238" t="s">
        <v>779</v>
      </c>
      <c r="O238" t="str">
        <f>IFERROR(VLOOKUP(Table2[[#This Row],[Atasan]],Table2[[#All],[Hierarchy]:[Kode Posisi]],2,FALSE),"")</f>
        <v>30-08-013-015</v>
      </c>
      <c r="P238" t="s">
        <v>27</v>
      </c>
      <c r="S238" t="str">
        <f>IFERROR(VLOOKUP(Table2[[#This Row],[ID Karyawan]],[1]!Table4[[#All],[Nik]:[Placement]],37,FALSE),"")</f>
        <v/>
      </c>
      <c r="T238" t="s">
        <v>74</v>
      </c>
      <c r="U238" t="s">
        <v>792</v>
      </c>
      <c r="V238" t="s">
        <v>84</v>
      </c>
    </row>
    <row r="239" spans="1:22">
      <c r="A239" t="s">
        <v>793</v>
      </c>
      <c r="B239" t="s">
        <v>794</v>
      </c>
      <c r="C239" s="9">
        <v>31517</v>
      </c>
      <c r="D239">
        <f ca="1">IF(Table2[[#This Row],[Tgl Lahir]]="","Unknown",DATEDIF(Table2[[#This Row],[Tgl Lahir]],TODAY(),"Y"))</f>
        <v>40</v>
      </c>
      <c r="E239" s="9">
        <v>39882</v>
      </c>
      <c r="F239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17 tahun 7 bulan</v>
      </c>
      <c r="G239" t="s">
        <v>723</v>
      </c>
      <c r="H239" t="s">
        <v>705</v>
      </c>
      <c r="I239" t="s">
        <v>708</v>
      </c>
      <c r="J239" t="s">
        <v>775</v>
      </c>
      <c r="K239" t="s">
        <v>778</v>
      </c>
      <c r="L239" t="str">
        <f>_xlfn.TEXTJOIN("/",TRUE,Table2[[#This Row],[Departemen]:[Unit]])</f>
        <v>Quality &amp; Compliance/Quality Assurance &amp; Control/Quality Control/Physical Analysis</v>
      </c>
      <c r="M239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30-08-013-014</v>
      </c>
      <c r="N239" t="s">
        <v>779</v>
      </c>
      <c r="O239" t="str">
        <f>IFERROR(VLOOKUP(Table2[[#This Row],[Atasan]],Table2[[#All],[Hierarchy]:[Kode Posisi]],2,FALSE),"")</f>
        <v>30-08-013-015</v>
      </c>
      <c r="P239" t="s">
        <v>27</v>
      </c>
      <c r="S239" t="str">
        <f>IFERROR(VLOOKUP(Table2[[#This Row],[ID Karyawan]],[1]!Table4[[#All],[Nik]:[Placement]],37,FALSE),"")</f>
        <v/>
      </c>
      <c r="T239" t="s">
        <v>74</v>
      </c>
      <c r="U239" t="s">
        <v>795</v>
      </c>
      <c r="V239" t="s">
        <v>727</v>
      </c>
    </row>
    <row r="240" spans="1:22">
      <c r="A240" t="s">
        <v>796</v>
      </c>
      <c r="B240" t="s">
        <v>797</v>
      </c>
      <c r="C240" s="9">
        <v>34723</v>
      </c>
      <c r="D240">
        <f ca="1">IF(Table2[[#This Row],[Tgl Lahir]]="","Unknown",DATEDIF(Table2[[#This Row],[Tgl Lahir]],TODAY(),"Y"))</f>
        <v>31</v>
      </c>
      <c r="E240" s="9">
        <v>43916</v>
      </c>
      <c r="F240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6 tahun 6 bulan</v>
      </c>
      <c r="G240" t="s">
        <v>723</v>
      </c>
      <c r="H240" t="s">
        <v>705</v>
      </c>
      <c r="I240" t="s">
        <v>708</v>
      </c>
      <c r="J240" t="s">
        <v>775</v>
      </c>
      <c r="K240" t="s">
        <v>778</v>
      </c>
      <c r="L240" t="str">
        <f>_xlfn.TEXTJOIN("/",TRUE,Table2[[#This Row],[Departemen]:[Unit]])</f>
        <v>Quality &amp; Compliance/Quality Assurance &amp; Control/Quality Control/Physical Analysis</v>
      </c>
      <c r="M240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30-08-013-014</v>
      </c>
      <c r="N240" t="s">
        <v>779</v>
      </c>
      <c r="O240" t="str">
        <f>IFERROR(VLOOKUP(Table2[[#This Row],[Atasan]],Table2[[#All],[Hierarchy]:[Kode Posisi]],2,FALSE),"")</f>
        <v>30-08-013-015</v>
      </c>
      <c r="P240" t="s">
        <v>27</v>
      </c>
      <c r="S240" t="str">
        <f>IFERROR(VLOOKUP(Table2[[#This Row],[ID Karyawan]],[1]!Table4[[#All],[Nik]:[Placement]],37,FALSE),"")</f>
        <v/>
      </c>
      <c r="T240" t="s">
        <v>121</v>
      </c>
      <c r="U240" t="s">
        <v>506</v>
      </c>
      <c r="V240" t="s">
        <v>798</v>
      </c>
    </row>
    <row r="241" spans="1:22">
      <c r="A241" t="s">
        <v>767</v>
      </c>
      <c r="B241" t="s">
        <v>768</v>
      </c>
      <c r="C241" s="9">
        <v>35730</v>
      </c>
      <c r="D241">
        <f ca="1">IF(Table2[[#This Row],[Tgl Lahir]]="","Unknown",DATEDIF(Table2[[#This Row],[Tgl Lahir]],TODAY(),"Y"))</f>
        <v>28</v>
      </c>
      <c r="E241" s="9">
        <v>44809</v>
      </c>
      <c r="F241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tahun 1 bulan</v>
      </c>
      <c r="G241" t="s">
        <v>77</v>
      </c>
      <c r="H241" t="s">
        <v>705</v>
      </c>
      <c r="I241" t="s">
        <v>708</v>
      </c>
      <c r="J241" t="s">
        <v>775</v>
      </c>
      <c r="K241" t="s">
        <v>799</v>
      </c>
      <c r="L241" t="str">
        <f>_xlfn.TEXTJOIN("/",TRUE,Table2[[#This Row],[Departemen]:[Unit]])</f>
        <v>Quality &amp; Compliance/Quality Assurance &amp; Control/Quality Control/Incoming Material &amp; Packaging QC</v>
      </c>
      <c r="M241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30-08-013-015</v>
      </c>
      <c r="N241" t="s">
        <v>800</v>
      </c>
      <c r="O241" t="str">
        <f>IFERROR(VLOOKUP(Table2[[#This Row],[Atasan]],Table2[[#All],[Hierarchy]:[Kode Posisi]],2,FALSE),"")</f>
        <v>30-08-013-000</v>
      </c>
      <c r="P241" t="s">
        <v>62</v>
      </c>
      <c r="S241" t="str">
        <f>IFERROR(VLOOKUP(Table2[[#This Row],[ID Karyawan]],[1]!Table4[[#All],[Nik]:[Placement]],37,FALSE),"")</f>
        <v/>
      </c>
      <c r="T241" t="s">
        <v>770</v>
      </c>
      <c r="U241" t="s">
        <v>743</v>
      </c>
      <c r="V241" t="s">
        <v>744</v>
      </c>
    </row>
    <row r="242" spans="1:22">
      <c r="A242" t="s">
        <v>801</v>
      </c>
      <c r="B242" t="s">
        <v>802</v>
      </c>
      <c r="C242" s="9">
        <v>26259</v>
      </c>
      <c r="D242">
        <f ca="1">IF(Table2[[#This Row],[Tgl Lahir]]="","Unknown",DATEDIF(Table2[[#This Row],[Tgl Lahir]],TODAY(),"Y"))</f>
        <v>54</v>
      </c>
      <c r="E242" s="9">
        <v>35592</v>
      </c>
      <c r="F242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4 bulan</v>
      </c>
      <c r="G242" t="s">
        <v>77</v>
      </c>
      <c r="H242" t="s">
        <v>705</v>
      </c>
      <c r="I242" t="s">
        <v>708</v>
      </c>
      <c r="J242" t="s">
        <v>775</v>
      </c>
      <c r="K242" t="s">
        <v>803</v>
      </c>
      <c r="L242" t="str">
        <f>_xlfn.TEXTJOIN("/",TRUE,Table2[[#This Row],[Departemen]:[Unit]])</f>
        <v>Quality &amp; Compliance/Quality Assurance &amp; Control/Quality Control/Product &amp; Shipping QC</v>
      </c>
      <c r="M242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30-08-013-016</v>
      </c>
      <c r="N242" t="s">
        <v>800</v>
      </c>
      <c r="O242" t="str">
        <f>IFERROR(VLOOKUP(Table2[[#This Row],[Atasan]],Table2[[#All],[Hierarchy]:[Kode Posisi]],2,FALSE),"")</f>
        <v>30-08-013-000</v>
      </c>
      <c r="P242" t="s">
        <v>27</v>
      </c>
      <c r="S242" t="str">
        <f>IFERROR(VLOOKUP(Table2[[#This Row],[ID Karyawan]],[1]!Table4[[#All],[Nik]:[Placement]],37,FALSE),"")</f>
        <v/>
      </c>
      <c r="T242" t="s">
        <v>121</v>
      </c>
      <c r="U242" t="s">
        <v>506</v>
      </c>
      <c r="V242" t="s">
        <v>740</v>
      </c>
    </row>
    <row r="243" spans="1:22">
      <c r="A243" t="s">
        <v>804</v>
      </c>
      <c r="B243" t="s">
        <v>805</v>
      </c>
      <c r="C243" s="9">
        <v>27762</v>
      </c>
      <c r="D243">
        <f ca="1">IF(Table2[[#This Row],[Tgl Lahir]]="","Unknown",DATEDIF(Table2[[#This Row],[Tgl Lahir]],TODAY(),"Y"))</f>
        <v>50</v>
      </c>
      <c r="E243" s="9">
        <v>35520</v>
      </c>
      <c r="F243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6 bulan</v>
      </c>
      <c r="G243" t="s">
        <v>723</v>
      </c>
      <c r="H243" t="s">
        <v>705</v>
      </c>
      <c r="I243" t="s">
        <v>708</v>
      </c>
      <c r="J243" t="s">
        <v>775</v>
      </c>
      <c r="K243" t="s">
        <v>806</v>
      </c>
      <c r="L243" t="str">
        <f>_xlfn.TEXTJOIN("/",TRUE,Table2[[#This Row],[Departemen]:[Unit]])</f>
        <v>Quality &amp; Compliance/Quality Assurance &amp; Control/Quality Control/Incoming Material &amp; Packaging QC Team</v>
      </c>
      <c r="M243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30-08-013-049</v>
      </c>
      <c r="N243" t="s">
        <v>779</v>
      </c>
      <c r="O243" t="str">
        <f>IFERROR(VLOOKUP(Table2[[#This Row],[Atasan]],Table2[[#All],[Hierarchy]:[Kode Posisi]],2,FALSE),"")</f>
        <v>30-08-013-015</v>
      </c>
      <c r="P243" t="s">
        <v>27</v>
      </c>
      <c r="S243" t="str">
        <f>IFERROR(VLOOKUP(Table2[[#This Row],[ID Karyawan]],[1]!Table4[[#All],[Nik]:[Placement]],37,FALSE),"")</f>
        <v/>
      </c>
      <c r="T243" t="s">
        <v>74</v>
      </c>
      <c r="U243">
        <v>0</v>
      </c>
      <c r="V243">
        <v>0</v>
      </c>
    </row>
    <row r="244" spans="1:22">
      <c r="A244" t="s">
        <v>807</v>
      </c>
      <c r="B244" t="s">
        <v>808</v>
      </c>
      <c r="C244" s="9">
        <v>32339</v>
      </c>
      <c r="D244">
        <f ca="1">IF(Table2[[#This Row],[Tgl Lahir]]="","Unknown",DATEDIF(Table2[[#This Row],[Tgl Lahir]],TODAY(),"Y"))</f>
        <v>38</v>
      </c>
      <c r="E244" s="9">
        <v>39591</v>
      </c>
      <c r="F244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18 tahun 4 bulan</v>
      </c>
      <c r="G244" t="s">
        <v>723</v>
      </c>
      <c r="H244" t="s">
        <v>705</v>
      </c>
      <c r="I244" t="s">
        <v>708</v>
      </c>
      <c r="J244" t="s">
        <v>775</v>
      </c>
      <c r="K244" t="s">
        <v>806</v>
      </c>
      <c r="L244" t="str">
        <f>_xlfn.TEXTJOIN("/",TRUE,Table2[[#This Row],[Departemen]:[Unit]])</f>
        <v>Quality &amp; Compliance/Quality Assurance &amp; Control/Quality Control/Incoming Material &amp; Packaging QC Team</v>
      </c>
      <c r="M244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30-08-013-049</v>
      </c>
      <c r="N244" t="s">
        <v>779</v>
      </c>
      <c r="O244" t="str">
        <f>IFERROR(VLOOKUP(Table2[[#This Row],[Atasan]],Table2[[#All],[Hierarchy]:[Kode Posisi]],2,FALSE),"")</f>
        <v>30-08-013-015</v>
      </c>
      <c r="P244" t="s">
        <v>27</v>
      </c>
      <c r="S244" t="str">
        <f>IFERROR(VLOOKUP(Table2[[#This Row],[ID Karyawan]],[1]!Table4[[#All],[Nik]:[Placement]],37,FALSE),"")</f>
        <v/>
      </c>
      <c r="T244" t="s">
        <v>74</v>
      </c>
      <c r="U244" t="s">
        <v>809</v>
      </c>
      <c r="V244" t="s">
        <v>84</v>
      </c>
    </row>
    <row r="245" spans="1:22">
      <c r="A245" t="s">
        <v>810</v>
      </c>
      <c r="B245" t="s">
        <v>811</v>
      </c>
      <c r="C245" s="9">
        <v>33776</v>
      </c>
      <c r="D245">
        <f ca="1">IF(Table2[[#This Row],[Tgl Lahir]]="","Unknown",DATEDIF(Table2[[#This Row],[Tgl Lahir]],TODAY(),"Y"))</f>
        <v>34</v>
      </c>
      <c r="E245" s="9">
        <v>43525</v>
      </c>
      <c r="F245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7 tahun 7 bulan</v>
      </c>
      <c r="G245" t="s">
        <v>723</v>
      </c>
      <c r="H245" t="s">
        <v>705</v>
      </c>
      <c r="I245" t="s">
        <v>708</v>
      </c>
      <c r="J245" t="s">
        <v>775</v>
      </c>
      <c r="K245" t="s">
        <v>806</v>
      </c>
      <c r="L245" t="str">
        <f>_xlfn.TEXTJOIN("/",TRUE,Table2[[#This Row],[Departemen]:[Unit]])</f>
        <v>Quality &amp; Compliance/Quality Assurance &amp; Control/Quality Control/Incoming Material &amp; Packaging QC Team</v>
      </c>
      <c r="M245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30-08-013-049</v>
      </c>
      <c r="N245" t="s">
        <v>779</v>
      </c>
      <c r="O245" t="str">
        <f>IFERROR(VLOOKUP(Table2[[#This Row],[Atasan]],Table2[[#All],[Hierarchy]:[Kode Posisi]],2,FALSE),"")</f>
        <v>30-08-013-015</v>
      </c>
      <c r="P245" t="s">
        <v>27</v>
      </c>
      <c r="S245" t="str">
        <f>IFERROR(VLOOKUP(Table2[[#This Row],[ID Karyawan]],[1]!Table4[[#All],[Nik]:[Placement]],37,FALSE),"")</f>
        <v/>
      </c>
      <c r="T245" t="s">
        <v>74</v>
      </c>
      <c r="U245" t="s">
        <v>812</v>
      </c>
      <c r="V245" t="s">
        <v>813</v>
      </c>
    </row>
    <row r="246" spans="1:22">
      <c r="A246" t="s">
        <v>814</v>
      </c>
      <c r="B246" t="s">
        <v>815</v>
      </c>
      <c r="C246" s="9">
        <v>30135</v>
      </c>
      <c r="D246">
        <f ca="1">IF(Table2[[#This Row],[Tgl Lahir]]="","Unknown",DATEDIF(Table2[[#This Row],[Tgl Lahir]],TODAY(),"Y"))</f>
        <v>44</v>
      </c>
      <c r="E246" s="9">
        <v>38628</v>
      </c>
      <c r="F246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21 tahun 0 bulan</v>
      </c>
      <c r="G246" t="s">
        <v>723</v>
      </c>
      <c r="H246" t="s">
        <v>705</v>
      </c>
      <c r="I246" t="s">
        <v>708</v>
      </c>
      <c r="J246" t="s">
        <v>775</v>
      </c>
      <c r="K246" t="s">
        <v>816</v>
      </c>
      <c r="L246" t="str">
        <f>_xlfn.TEXTJOIN("/",TRUE,Table2[[#This Row],[Departemen]:[Unit]])</f>
        <v>Quality &amp; Compliance/Quality Assurance &amp; Control/Quality Control/Product &amp; Shipping QC Team</v>
      </c>
      <c r="M246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30-08-013-050</v>
      </c>
      <c r="N246" t="s">
        <v>817</v>
      </c>
      <c r="O246" t="str">
        <f>IFERROR(VLOOKUP(Table2[[#This Row],[Atasan]],Table2[[#All],[Hierarchy]:[Kode Posisi]],2,FALSE),"")</f>
        <v>30-08-013-016</v>
      </c>
      <c r="P246" t="s">
        <v>27</v>
      </c>
      <c r="S246" t="str">
        <f>IFERROR(VLOOKUP(Table2[[#This Row],[ID Karyawan]],[1]!Table4[[#All],[Nik]:[Placement]],37,FALSE),"")</f>
        <v/>
      </c>
      <c r="T246" t="s">
        <v>121</v>
      </c>
      <c r="U246" t="s">
        <v>262</v>
      </c>
      <c r="V246" t="s">
        <v>263</v>
      </c>
    </row>
    <row r="247" spans="1:22">
      <c r="A247" t="s">
        <v>818</v>
      </c>
      <c r="B247" t="s">
        <v>819</v>
      </c>
      <c r="C247" s="9">
        <v>31790</v>
      </c>
      <c r="D247">
        <f ca="1">IF(Table2[[#This Row],[Tgl Lahir]]="","Unknown",DATEDIF(Table2[[#This Row],[Tgl Lahir]],TODAY(),"Y"))</f>
        <v>39</v>
      </c>
      <c r="E247" s="9">
        <v>38901</v>
      </c>
      <c r="F247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20 tahun 3 bulan</v>
      </c>
      <c r="G247" t="s">
        <v>723</v>
      </c>
      <c r="H247" t="s">
        <v>705</v>
      </c>
      <c r="I247" t="s">
        <v>708</v>
      </c>
      <c r="J247" t="s">
        <v>775</v>
      </c>
      <c r="K247" t="s">
        <v>816</v>
      </c>
      <c r="L247" t="str">
        <f>_xlfn.TEXTJOIN("/",TRUE,Table2[[#This Row],[Departemen]:[Unit]])</f>
        <v>Quality &amp; Compliance/Quality Assurance &amp; Control/Quality Control/Product &amp; Shipping QC Team</v>
      </c>
      <c r="M247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30-08-013-050</v>
      </c>
      <c r="N247" t="s">
        <v>817</v>
      </c>
      <c r="O247" t="str">
        <f>IFERROR(VLOOKUP(Table2[[#This Row],[Atasan]],Table2[[#All],[Hierarchy]:[Kode Posisi]],2,FALSE),"")</f>
        <v>30-08-013-016</v>
      </c>
      <c r="P247" t="s">
        <v>27</v>
      </c>
      <c r="S247" t="str">
        <f>IFERROR(VLOOKUP(Table2[[#This Row],[ID Karyawan]],[1]!Table4[[#All],[Nik]:[Placement]],37,FALSE),"")</f>
        <v/>
      </c>
      <c r="T247" t="s">
        <v>74</v>
      </c>
      <c r="U247" t="s">
        <v>734</v>
      </c>
      <c r="V247" t="s">
        <v>820</v>
      </c>
    </row>
    <row r="248" spans="1:22">
      <c r="A248" t="s">
        <v>821</v>
      </c>
      <c r="B248" t="s">
        <v>822</v>
      </c>
      <c r="C248" s="9">
        <v>35908</v>
      </c>
      <c r="D248">
        <f ca="1">IF(Table2[[#This Row],[Tgl Lahir]]="","Unknown",DATEDIF(Table2[[#This Row],[Tgl Lahir]],TODAY(),"Y"))</f>
        <v>28</v>
      </c>
      <c r="E248" s="9">
        <v>43906</v>
      </c>
      <c r="F248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6 tahun 6 bulan</v>
      </c>
      <c r="G248" t="s">
        <v>723</v>
      </c>
      <c r="H248" t="s">
        <v>705</v>
      </c>
      <c r="I248" t="s">
        <v>708</v>
      </c>
      <c r="J248" t="s">
        <v>775</v>
      </c>
      <c r="K248" t="s">
        <v>816</v>
      </c>
      <c r="L248" t="str">
        <f>_xlfn.TEXTJOIN("/",TRUE,Table2[[#This Row],[Departemen]:[Unit]])</f>
        <v>Quality &amp; Compliance/Quality Assurance &amp; Control/Quality Control/Product &amp; Shipping QC Team</v>
      </c>
      <c r="M248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30-08-013-050</v>
      </c>
      <c r="N248" t="s">
        <v>817</v>
      </c>
      <c r="O248" t="str">
        <f>IFERROR(VLOOKUP(Table2[[#This Row],[Atasan]],Table2[[#All],[Hierarchy]:[Kode Posisi]],2,FALSE),"")</f>
        <v>30-08-013-016</v>
      </c>
      <c r="P248" t="s">
        <v>27</v>
      </c>
      <c r="S248" t="str">
        <f>IFERROR(VLOOKUP(Table2[[#This Row],[ID Karyawan]],[1]!Table4[[#All],[Nik]:[Placement]],37,FALSE),"")</f>
        <v/>
      </c>
      <c r="T248" t="s">
        <v>121</v>
      </c>
      <c r="U248" t="s">
        <v>506</v>
      </c>
      <c r="V248" t="s">
        <v>193</v>
      </c>
    </row>
    <row r="249" spans="1:22">
      <c r="A249" t="s">
        <v>823</v>
      </c>
      <c r="B249" t="s">
        <v>824</v>
      </c>
      <c r="C249" s="9">
        <v>37100</v>
      </c>
      <c r="D249">
        <f ca="1">IF(Table2[[#This Row],[Tgl Lahir]]="","Unknown",DATEDIF(Table2[[#This Row],[Tgl Lahir]],TODAY(),"Y"))</f>
        <v>25</v>
      </c>
      <c r="E249" s="9">
        <v>46139</v>
      </c>
      <c r="F249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5 bulan</v>
      </c>
      <c r="G249" t="s">
        <v>723</v>
      </c>
      <c r="H249" t="s">
        <v>705</v>
      </c>
      <c r="I249" t="s">
        <v>708</v>
      </c>
      <c r="J249" t="s">
        <v>775</v>
      </c>
      <c r="K249" t="s">
        <v>816</v>
      </c>
      <c r="L249" t="str">
        <f>_xlfn.TEXTJOIN("/",TRUE,Table2[[#This Row],[Departemen]:[Unit]])</f>
        <v>Quality &amp; Compliance/Quality Assurance &amp; Control/Quality Control/Product &amp; Shipping QC Team</v>
      </c>
      <c r="M249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30-08-013-050</v>
      </c>
      <c r="N249" t="s">
        <v>817</v>
      </c>
      <c r="O249" t="str">
        <f>IFERROR(VLOOKUP(Table2[[#This Row],[Atasan]],Table2[[#All],[Hierarchy]:[Kode Posisi]],2,FALSE),"")</f>
        <v>30-08-013-016</v>
      </c>
      <c r="P249" t="s">
        <v>27</v>
      </c>
      <c r="S249" t="str">
        <f>IFERROR(VLOOKUP(Table2[[#This Row],[ID Karyawan]],[1]!Table4[[#All],[Nik]:[Placement]],37,FALSE),"")</f>
        <v/>
      </c>
      <c r="T249" t="s">
        <v>41</v>
      </c>
      <c r="U249" t="s">
        <v>719</v>
      </c>
      <c r="V249" t="s">
        <v>825</v>
      </c>
    </row>
    <row r="250" spans="1:22">
      <c r="A250" t="s">
        <v>826</v>
      </c>
      <c r="B250" t="s">
        <v>827</v>
      </c>
      <c r="C250" s="9">
        <v>34565</v>
      </c>
      <c r="D250">
        <f ca="1">IF(Table2[[#This Row],[Tgl Lahir]]="","Unknown",DATEDIF(Table2[[#This Row],[Tgl Lahir]],TODAY(),"Y"))</f>
        <v>32</v>
      </c>
      <c r="E250" s="9">
        <v>45544</v>
      </c>
      <c r="F250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 tahun 1 bulan</v>
      </c>
      <c r="G250" t="s">
        <v>828</v>
      </c>
      <c r="H250" t="s">
        <v>705</v>
      </c>
      <c r="I250" t="s">
        <v>708</v>
      </c>
      <c r="J250" t="s">
        <v>829</v>
      </c>
      <c r="L250" t="str">
        <f>_xlfn.TEXTJOIN("/",TRUE,Table2[[#This Row],[Departemen]:[Unit]])</f>
        <v>Quality &amp; Compliance/Quality Assurance &amp; Control/Quality Assurance</v>
      </c>
      <c r="M250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30-08-015-000</v>
      </c>
      <c r="N250" t="s">
        <v>712</v>
      </c>
      <c r="O250" t="str">
        <f>IFERROR(VLOOKUP(Table2[[#This Row],[Atasan]],Table2[[#All],[Hierarchy]:[Kode Posisi]],2,FALSE),"")</f>
        <v>30-08-000-000</v>
      </c>
      <c r="P250" t="s">
        <v>27</v>
      </c>
      <c r="S250" t="str">
        <f>IFERROR(VLOOKUP(Table2[[#This Row],[ID Karyawan]],[1]!Table4[[#All],[Nik]:[Placement]],37,FALSE),"")</f>
        <v/>
      </c>
      <c r="T250" t="s">
        <v>770</v>
      </c>
      <c r="U250" t="s">
        <v>117</v>
      </c>
      <c r="V250" t="s">
        <v>830</v>
      </c>
    </row>
    <row r="251" spans="1:22">
      <c r="A251" t="s">
        <v>831</v>
      </c>
      <c r="B251" t="s">
        <v>832</v>
      </c>
      <c r="C251" s="9">
        <v>30541</v>
      </c>
      <c r="D251">
        <f ca="1">IF(Table2[[#This Row],[Tgl Lahir]]="","Unknown",DATEDIF(Table2[[#This Row],[Tgl Lahir]],TODAY(),"Y"))</f>
        <v>43</v>
      </c>
      <c r="E251" s="9">
        <v>38055</v>
      </c>
      <c r="F251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22 tahun 7 bulan</v>
      </c>
      <c r="G251" t="s">
        <v>523</v>
      </c>
      <c r="H251" t="s">
        <v>705</v>
      </c>
      <c r="I251" t="s">
        <v>708</v>
      </c>
      <c r="J251" t="s">
        <v>829</v>
      </c>
      <c r="K251" t="s">
        <v>833</v>
      </c>
      <c r="L251" t="str">
        <f>_xlfn.TEXTJOIN("/",TRUE,Table2[[#This Row],[Departemen]:[Unit]])</f>
        <v>Quality &amp; Compliance/Quality Assurance &amp; Control/Quality Assurance/QMS &amp; Regulatory</v>
      </c>
      <c r="M251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30-08-015-051</v>
      </c>
      <c r="N251" t="s">
        <v>834</v>
      </c>
      <c r="O251" t="str">
        <f>IFERROR(VLOOKUP(Table2[[#This Row],[Atasan]],Table2[[#All],[Hierarchy]:[Kode Posisi]],2,FALSE),"")</f>
        <v>30-08-015-000</v>
      </c>
      <c r="P251" t="s">
        <v>27</v>
      </c>
      <c r="S251" t="str">
        <f>IFERROR(VLOOKUP(Table2[[#This Row],[ID Karyawan]],[1]!Table4[[#All],[Nik]:[Placement]],37,FALSE),"")</f>
        <v/>
      </c>
      <c r="T251" t="s">
        <v>546</v>
      </c>
      <c r="U251" t="s">
        <v>835</v>
      </c>
      <c r="V251" t="s">
        <v>836</v>
      </c>
    </row>
    <row r="252" spans="1:22">
      <c r="A252" t="s">
        <v>837</v>
      </c>
      <c r="B252" t="s">
        <v>838</v>
      </c>
      <c r="C252" s="9">
        <v>31856</v>
      </c>
      <c r="D252">
        <f ca="1">IF(Table2[[#This Row],[Tgl Lahir]]="","Unknown",DATEDIF(Table2[[#This Row],[Tgl Lahir]],TODAY(),"Y"))</f>
        <v>39</v>
      </c>
      <c r="E252" s="9">
        <v>41715</v>
      </c>
      <c r="F252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12 tahun 6 bulan</v>
      </c>
      <c r="G252" t="s">
        <v>702</v>
      </c>
      <c r="H252" t="s">
        <v>705</v>
      </c>
      <c r="I252" t="s">
        <v>708</v>
      </c>
      <c r="J252" t="s">
        <v>839</v>
      </c>
      <c r="L252" t="str">
        <f>_xlfn.TEXTJOIN("/",TRUE,Table2[[#This Row],[Departemen]:[Unit]])</f>
        <v>Quality &amp; Compliance/Quality Assurance &amp; Control/Lab &amp; QC Office</v>
      </c>
      <c r="M252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30-08-030-000</v>
      </c>
      <c r="N252" t="s">
        <v>712</v>
      </c>
      <c r="O252" t="str">
        <f>IFERROR(VLOOKUP(Table2[[#This Row],[Atasan]],Table2[[#All],[Hierarchy]:[Kode Posisi]],2,FALSE),"")</f>
        <v>30-08-000-000</v>
      </c>
      <c r="P252" t="s">
        <v>27</v>
      </c>
      <c r="S252" t="str">
        <f>IFERROR(VLOOKUP(Table2[[#This Row],[ID Karyawan]],[1]!Table4[[#All],[Nik]:[Placement]],37,FALSE),"")</f>
        <v/>
      </c>
      <c r="T252" t="s">
        <v>41</v>
      </c>
      <c r="U252" t="s">
        <v>506</v>
      </c>
      <c r="V252" t="s">
        <v>744</v>
      </c>
    </row>
    <row r="253" spans="1:22">
      <c r="A253" t="s">
        <v>840</v>
      </c>
      <c r="B253" t="s">
        <v>841</v>
      </c>
      <c r="C253" s="9">
        <v>35258</v>
      </c>
      <c r="D253">
        <f ca="1">IF(Table2[[#This Row],[Tgl Lahir]]="","Unknown",DATEDIF(Table2[[#This Row],[Tgl Lahir]],TODAY(),"Y"))</f>
        <v>30</v>
      </c>
      <c r="E253" s="9">
        <v>43160</v>
      </c>
      <c r="F253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8 tahun 7 bulan</v>
      </c>
      <c r="G253" t="s">
        <v>702</v>
      </c>
      <c r="H253" t="s">
        <v>705</v>
      </c>
      <c r="I253" t="s">
        <v>708</v>
      </c>
      <c r="J253" t="s">
        <v>839</v>
      </c>
      <c r="L253" t="str">
        <f>_xlfn.TEXTJOIN("/",TRUE,Table2[[#This Row],[Departemen]:[Unit]])</f>
        <v>Quality &amp; Compliance/Quality Assurance &amp; Control/Lab &amp; QC Office</v>
      </c>
      <c r="M253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30-08-030-000</v>
      </c>
      <c r="N253" t="s">
        <v>712</v>
      </c>
      <c r="O253" t="str">
        <f>IFERROR(VLOOKUP(Table2[[#This Row],[Atasan]],Table2[[#All],[Hierarchy]:[Kode Posisi]],2,FALSE),"")</f>
        <v>30-08-000-000</v>
      </c>
      <c r="P253" t="s">
        <v>27</v>
      </c>
      <c r="S253" t="str">
        <f>IFERROR(VLOOKUP(Table2[[#This Row],[ID Karyawan]],[1]!Table4[[#All],[Nik]:[Placement]],37,FALSE),"")</f>
        <v/>
      </c>
      <c r="T253" t="s">
        <v>41</v>
      </c>
      <c r="U253" t="s">
        <v>743</v>
      </c>
      <c r="V253" t="s">
        <v>744</v>
      </c>
    </row>
    <row r="254" spans="1:22">
      <c r="A254" t="s">
        <v>842</v>
      </c>
      <c r="B254" t="s">
        <v>843</v>
      </c>
      <c r="C254" s="9">
        <v>34787</v>
      </c>
      <c r="D254">
        <f ca="1">IF(Table2[[#This Row],[Tgl Lahir]]="","Unknown",DATEDIF(Table2[[#This Row],[Tgl Lahir]],TODAY(),"Y"))</f>
        <v>31</v>
      </c>
      <c r="E254" s="9">
        <v>43770</v>
      </c>
      <c r="F254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6 tahun 11 bulan</v>
      </c>
      <c r="G254" t="s">
        <v>702</v>
      </c>
      <c r="H254" t="s">
        <v>705</v>
      </c>
      <c r="I254" t="s">
        <v>708</v>
      </c>
      <c r="J254" t="s">
        <v>839</v>
      </c>
      <c r="L254" t="str">
        <f>_xlfn.TEXTJOIN("/",TRUE,Table2[[#This Row],[Departemen]:[Unit]])</f>
        <v>Quality &amp; Compliance/Quality Assurance &amp; Control/Lab &amp; QC Office</v>
      </c>
      <c r="M254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30-08-030-000</v>
      </c>
      <c r="N254" t="s">
        <v>712</v>
      </c>
      <c r="O254" t="str">
        <f>IFERROR(VLOOKUP(Table2[[#This Row],[Atasan]],Table2[[#All],[Hierarchy]:[Kode Posisi]],2,FALSE),"")</f>
        <v>30-08-000-000</v>
      </c>
      <c r="P254" t="s">
        <v>27</v>
      </c>
      <c r="S254" t="str">
        <f>IFERROR(VLOOKUP(Table2[[#This Row],[ID Karyawan]],[1]!Table4[[#All],[Nik]:[Placement]],37,FALSE),"")</f>
        <v/>
      </c>
      <c r="T254" t="s">
        <v>41</v>
      </c>
      <c r="U254" t="s">
        <v>743</v>
      </c>
      <c r="V254" t="s">
        <v>744</v>
      </c>
    </row>
    <row r="255" spans="1:22">
      <c r="A255" t="s">
        <v>844</v>
      </c>
      <c r="B255" t="s">
        <v>845</v>
      </c>
      <c r="C255" s="9">
        <v>35642</v>
      </c>
      <c r="D255">
        <f ca="1">IF(Table2[[#This Row],[Tgl Lahir]]="","Unknown",DATEDIF(Table2[[#This Row],[Tgl Lahir]],TODAY(),"Y"))</f>
        <v>29</v>
      </c>
      <c r="E255" s="9">
        <v>44774</v>
      </c>
      <c r="F255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tahun 2 bulan</v>
      </c>
      <c r="G255" t="s">
        <v>702</v>
      </c>
      <c r="H255" t="s">
        <v>705</v>
      </c>
      <c r="I255" t="s">
        <v>708</v>
      </c>
      <c r="J255" t="s">
        <v>839</v>
      </c>
      <c r="L255" t="str">
        <f>_xlfn.TEXTJOIN("/",TRUE,Table2[[#This Row],[Departemen]:[Unit]])</f>
        <v>Quality &amp; Compliance/Quality Assurance &amp; Control/Lab &amp; QC Office</v>
      </c>
      <c r="M255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30-08-030-000</v>
      </c>
      <c r="N255" t="s">
        <v>712</v>
      </c>
      <c r="O255" t="str">
        <f>IFERROR(VLOOKUP(Table2[[#This Row],[Atasan]],Table2[[#All],[Hierarchy]:[Kode Posisi]],2,FALSE),"")</f>
        <v>30-08-000-000</v>
      </c>
      <c r="P255" t="s">
        <v>27</v>
      </c>
      <c r="S255" t="str">
        <f>IFERROR(VLOOKUP(Table2[[#This Row],[ID Karyawan]],[1]!Table4[[#All],[Nik]:[Placement]],37,FALSE),"")</f>
        <v/>
      </c>
      <c r="T255" t="s">
        <v>41</v>
      </c>
      <c r="U255" t="s">
        <v>846</v>
      </c>
      <c r="V255" t="s">
        <v>847</v>
      </c>
    </row>
    <row r="256" spans="1:22">
      <c r="A256" s="8" t="s">
        <v>848</v>
      </c>
      <c r="B256" t="s">
        <v>849</v>
      </c>
      <c r="C256" s="9">
        <v>37855</v>
      </c>
      <c r="D256">
        <f ca="1">IF(Table2[[#This Row],[Tgl Lahir]]="","Unknown",DATEDIF(Table2[[#This Row],[Tgl Lahir]],TODAY(),"Y"))</f>
        <v>23</v>
      </c>
      <c r="E256" s="9">
        <v>46279</v>
      </c>
      <c r="F256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0 bulan</v>
      </c>
      <c r="G256" t="s">
        <v>723</v>
      </c>
      <c r="H256" t="s">
        <v>705</v>
      </c>
      <c r="I256" t="s">
        <v>708</v>
      </c>
      <c r="J256" t="s">
        <v>839</v>
      </c>
      <c r="L256" t="str">
        <f>_xlfn.TEXTJOIN("/",TRUE,Table2[[#This Row],[Departemen]:[Unit]])</f>
        <v>Quality &amp; Compliance/Quality Assurance &amp; Control/Lab &amp; QC Office</v>
      </c>
      <c r="M256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30-08-030-000</v>
      </c>
      <c r="N256" t="s">
        <v>712</v>
      </c>
      <c r="O256" t="str">
        <f>IFERROR(VLOOKUP(Table2[[#This Row],[Atasan]],Table2[[#All],[Hierarchy]:[Kode Posisi]],2,FALSE),"")</f>
        <v>30-08-000-000</v>
      </c>
      <c r="P256" t="s">
        <v>27</v>
      </c>
      <c r="S256" t="str">
        <f>IFERROR(VLOOKUP(Table2[[#This Row],[ID Karyawan]],[1]!Table4[[#All],[Nik]:[Placement]],37,FALSE),"")</f>
        <v/>
      </c>
      <c r="T256" t="s">
        <v>41</v>
      </c>
      <c r="U256" t="s">
        <v>24</v>
      </c>
      <c r="V256" t="s">
        <v>24</v>
      </c>
    </row>
    <row r="257" spans="1:22">
      <c r="A257" t="s">
        <v>850</v>
      </c>
      <c r="B257" t="s">
        <v>851</v>
      </c>
      <c r="C257" s="9">
        <v>33052</v>
      </c>
      <c r="D257">
        <f ca="1">IF(Table2[[#This Row],[Tgl Lahir]]="","Unknown",DATEDIF(Table2[[#This Row],[Tgl Lahir]],TODAY(),"Y"))</f>
        <v>36</v>
      </c>
      <c r="E257" s="9">
        <v>45369</v>
      </c>
      <c r="F257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 tahun 6 bulan</v>
      </c>
      <c r="G257" t="s">
        <v>67</v>
      </c>
      <c r="H257" t="s">
        <v>705</v>
      </c>
      <c r="I257" t="s">
        <v>852</v>
      </c>
      <c r="L257" t="str">
        <f>_xlfn.TEXTJOIN("/",TRUE,Table2[[#This Row],[Departemen]:[Unit]])</f>
        <v>Quality &amp; Compliance/Governance &amp; Sustainability</v>
      </c>
      <c r="M257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30-09-000-000</v>
      </c>
      <c r="N257" t="s">
        <v>705</v>
      </c>
      <c r="O257" t="str">
        <f>IFERROR(VLOOKUP(Table2[[#This Row],[Atasan]],Table2[[#All],[Hierarchy]:[Kode Posisi]],2,FALSE),"")</f>
        <v>30-00-000-000</v>
      </c>
      <c r="P257" t="s">
        <v>62</v>
      </c>
      <c r="Q257" t="s">
        <v>853</v>
      </c>
      <c r="R257" t="s">
        <v>854</v>
      </c>
      <c r="S257" t="str">
        <f>IFERROR(VLOOKUP(Table2[[#This Row],[ID Karyawan]],[1]!Table4[[#All],[Nik]:[Placement]],37,FALSE),"")</f>
        <v/>
      </c>
      <c r="T257" t="s">
        <v>41</v>
      </c>
      <c r="U257" t="s">
        <v>855</v>
      </c>
      <c r="V257" t="s">
        <v>856</v>
      </c>
    </row>
    <row r="258" spans="1:22">
      <c r="A258" t="s">
        <v>47</v>
      </c>
      <c r="B258" t="s">
        <v>48</v>
      </c>
      <c r="C258" s="9">
        <v>19474</v>
      </c>
      <c r="D258">
        <f ca="1">IF(Table2[[#This Row],[Tgl Lahir]]="","Unknown",DATEDIF(Table2[[#This Row],[Tgl Lahir]],TODAY(),"Y"))</f>
        <v>73</v>
      </c>
      <c r="E258" s="9">
        <v>35431</v>
      </c>
      <c r="F258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9 bulan</v>
      </c>
      <c r="G258" t="s">
        <v>60</v>
      </c>
      <c r="H258" t="s">
        <v>857</v>
      </c>
      <c r="L258" t="str">
        <f>_xlfn.TEXTJOIN("/",TRUE,Table2[[#This Row],[Departemen]:[Unit]])</f>
        <v>HRD &amp; GA</v>
      </c>
      <c r="M258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40-00-000-000</v>
      </c>
      <c r="N258" t="s">
        <v>40</v>
      </c>
      <c r="O258" t="str">
        <f>IFERROR(VLOOKUP(Table2[[#This Row],[Atasan]],Table2[[#All],[Hierarchy]:[Kode Posisi]],2,FALSE),"")</f>
        <v>02-00-000-000</v>
      </c>
      <c r="P258" t="s">
        <v>62</v>
      </c>
      <c r="S258" t="str">
        <f>IFERROR(VLOOKUP(Table2[[#This Row],[ID Karyawan]],[1]!Table4[[#All],[Nik]:[Placement]],37,FALSE),"")</f>
        <v/>
      </c>
      <c r="T258" t="s">
        <v>41</v>
      </c>
      <c r="U258" t="s">
        <v>24</v>
      </c>
      <c r="V258" t="s">
        <v>24</v>
      </c>
    </row>
    <row r="259" spans="1:22">
      <c r="A259" t="s">
        <v>858</v>
      </c>
      <c r="B259" t="s">
        <v>859</v>
      </c>
      <c r="C259" s="9">
        <v>25721</v>
      </c>
      <c r="D259">
        <f ca="1">IF(Table2[[#This Row],[Tgl Lahir]]="","Unknown",DATEDIF(Table2[[#This Row],[Tgl Lahir]],TODAY(),"Y"))</f>
        <v>56</v>
      </c>
      <c r="E259" s="9">
        <v>35387</v>
      </c>
      <c r="F259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10 bulan</v>
      </c>
      <c r="G259" t="s">
        <v>67</v>
      </c>
      <c r="H259" t="s">
        <v>857</v>
      </c>
      <c r="I259" t="s">
        <v>857</v>
      </c>
      <c r="L259" t="str">
        <f>_xlfn.TEXTJOIN("/",TRUE,Table2[[#This Row],[Departemen]:[Unit]])</f>
        <v>HRD &amp; GA/HRD &amp; GA</v>
      </c>
      <c r="M259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40-11-000-000</v>
      </c>
      <c r="N259" t="s">
        <v>857</v>
      </c>
      <c r="O259" t="str">
        <f>IFERROR(VLOOKUP(Table2[[#This Row],[Atasan]],Table2[[#All],[Hierarchy]:[Kode Posisi]],2,FALSE),"")</f>
        <v>40-00-000-000</v>
      </c>
      <c r="P259" t="s">
        <v>27</v>
      </c>
      <c r="S259" t="str">
        <f>IFERROR(VLOOKUP(Table2[[#This Row],[ID Karyawan]],[1]!Table4[[#All],[Nik]:[Placement]],37,FALSE),"")</f>
        <v/>
      </c>
      <c r="T259" t="s">
        <v>41</v>
      </c>
      <c r="U259" t="s">
        <v>24</v>
      </c>
      <c r="V259" t="s">
        <v>24</v>
      </c>
    </row>
    <row r="260" spans="1:22">
      <c r="A260" t="s">
        <v>860</v>
      </c>
      <c r="B260" t="s">
        <v>861</v>
      </c>
      <c r="C260" s="9">
        <v>27356</v>
      </c>
      <c r="D260">
        <f ca="1">IF(Table2[[#This Row],[Tgl Lahir]]="","Unknown",DATEDIF(Table2[[#This Row],[Tgl Lahir]],TODAY(),"Y"))</f>
        <v>51</v>
      </c>
      <c r="E260" s="9">
        <v>40924</v>
      </c>
      <c r="F260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14 tahun 8 bulan</v>
      </c>
      <c r="G260" t="s">
        <v>71</v>
      </c>
      <c r="H260" t="s">
        <v>857</v>
      </c>
      <c r="I260" t="s">
        <v>857</v>
      </c>
      <c r="J260" t="s">
        <v>862</v>
      </c>
      <c r="L260" t="str">
        <f>_xlfn.TEXTJOIN("/",TRUE,Table2[[#This Row],[Departemen]:[Unit]])</f>
        <v>HRD &amp; GA/HRD &amp; GA/HR Operations</v>
      </c>
      <c r="M260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40-11-016-000</v>
      </c>
      <c r="N260" t="s">
        <v>863</v>
      </c>
      <c r="O260" t="str">
        <f>IFERROR(VLOOKUP(Table2[[#This Row],[Atasan]],Table2[[#All],[Hierarchy]:[Kode Posisi]],2,FALSE),"")</f>
        <v>40-11-000-000</v>
      </c>
      <c r="P260" t="s">
        <v>27</v>
      </c>
      <c r="S260" t="str">
        <f>IFERROR(VLOOKUP(Table2[[#This Row],[ID Karyawan]],[1]!Table4[[#All],[Nik]:[Placement]],37,FALSE),"")</f>
        <v/>
      </c>
      <c r="T260" t="s">
        <v>41</v>
      </c>
      <c r="U260" t="s">
        <v>245</v>
      </c>
      <c r="V260" t="s">
        <v>864</v>
      </c>
    </row>
    <row r="261" spans="1:22">
      <c r="A261" t="s">
        <v>865</v>
      </c>
      <c r="B261" t="s">
        <v>866</v>
      </c>
      <c r="C261" s="9">
        <v>31792</v>
      </c>
      <c r="D261">
        <f ca="1">IF(Table2[[#This Row],[Tgl Lahir]]="","Unknown",DATEDIF(Table2[[#This Row],[Tgl Lahir]],TODAY(),"Y"))</f>
        <v>39</v>
      </c>
      <c r="E261" s="9">
        <v>41561</v>
      </c>
      <c r="F261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12 tahun 11 bulan</v>
      </c>
      <c r="G261" t="s">
        <v>702</v>
      </c>
      <c r="H261" t="s">
        <v>857</v>
      </c>
      <c r="I261" t="s">
        <v>857</v>
      </c>
      <c r="J261" t="s">
        <v>862</v>
      </c>
      <c r="L261" t="str">
        <f>_xlfn.TEXTJOIN("/",TRUE,Table2[[#This Row],[Departemen]:[Unit]])</f>
        <v>HRD &amp; GA/HRD &amp; GA/HR Operations</v>
      </c>
      <c r="M261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40-11-016-000</v>
      </c>
      <c r="N261" t="s">
        <v>863</v>
      </c>
      <c r="O261" t="str">
        <f>IFERROR(VLOOKUP(Table2[[#This Row],[Atasan]],Table2[[#All],[Hierarchy]:[Kode Posisi]],2,FALSE),"")</f>
        <v>40-11-000-000</v>
      </c>
      <c r="P261" t="s">
        <v>27</v>
      </c>
      <c r="S261" t="str">
        <f>IFERROR(VLOOKUP(Table2[[#This Row],[ID Karyawan]],[1]!Table4[[#All],[Nik]:[Placement]],37,FALSE),"")</f>
        <v/>
      </c>
      <c r="T261" t="s">
        <v>41</v>
      </c>
      <c r="U261" t="s">
        <v>278</v>
      </c>
      <c r="V261" t="s">
        <v>867</v>
      </c>
    </row>
    <row r="262" spans="1:22">
      <c r="A262" t="s">
        <v>868</v>
      </c>
      <c r="B262" t="s">
        <v>869</v>
      </c>
      <c r="C262" s="9">
        <v>27583</v>
      </c>
      <c r="D262">
        <f ca="1">IF(Table2[[#This Row],[Tgl Lahir]]="","Unknown",DATEDIF(Table2[[#This Row],[Tgl Lahir]],TODAY(),"Y"))</f>
        <v>51</v>
      </c>
      <c r="E262" s="9">
        <v>35495</v>
      </c>
      <c r="F262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7 bulan</v>
      </c>
      <c r="G262" t="s">
        <v>540</v>
      </c>
      <c r="H262" t="s">
        <v>857</v>
      </c>
      <c r="I262" t="s">
        <v>857</v>
      </c>
      <c r="J262" t="s">
        <v>862</v>
      </c>
      <c r="K262" t="s">
        <v>870</v>
      </c>
      <c r="L262" t="str">
        <f>_xlfn.TEXTJOIN("/",TRUE,Table2[[#This Row],[Departemen]:[Unit]])</f>
        <v>HRD &amp; GA/HRD &amp; GA/HR Operations/Personnel Management</v>
      </c>
      <c r="M262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40-11-016-052</v>
      </c>
      <c r="N262" t="s">
        <v>871</v>
      </c>
      <c r="O262" t="str">
        <f>IFERROR(VLOOKUP(Table2[[#This Row],[Atasan]],Table2[[#All],[Hierarchy]:[Kode Posisi]],2,FALSE),"")</f>
        <v>40-11-016-000</v>
      </c>
      <c r="P262" t="s">
        <v>27</v>
      </c>
      <c r="S262" t="str">
        <f>IFERROR(VLOOKUP(Table2[[#This Row],[ID Karyawan]],[1]!Table4[[#All],[Nik]:[Placement]],37,FALSE),"")</f>
        <v/>
      </c>
      <c r="T262" t="s">
        <v>74</v>
      </c>
      <c r="U262" t="s">
        <v>872</v>
      </c>
      <c r="V262" t="s">
        <v>873</v>
      </c>
    </row>
    <row r="263" spans="1:22">
      <c r="A263"/>
      <c r="C263" s="9" t="s">
        <v>24</v>
      </c>
      <c r="D263" t="str">
        <f ca="1">IF(Table2[[#This Row],[Tgl Lahir]]="","Unknown",DATEDIF(Table2[[#This Row],[Tgl Lahir]],TODAY(),"Y"))</f>
        <v>Unknown</v>
      </c>
      <c r="E263" s="9" t="s">
        <v>24</v>
      </c>
      <c r="F263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/>
      </c>
      <c r="G263" t="s">
        <v>71</v>
      </c>
      <c r="H263" t="s">
        <v>857</v>
      </c>
      <c r="I263" t="s">
        <v>857</v>
      </c>
      <c r="J263" t="s">
        <v>874</v>
      </c>
      <c r="L263" t="str">
        <f>_xlfn.TEXTJOIN("/",TRUE,Table2[[#This Row],[Departemen]:[Unit]])</f>
        <v>HRD &amp; GA/HRD &amp; GA/Legal &amp; General Affairs</v>
      </c>
      <c r="M263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40-11-018-000</v>
      </c>
      <c r="N263" t="s">
        <v>863</v>
      </c>
      <c r="O263" t="str">
        <f>IFERROR(VLOOKUP(Table2[[#This Row],[Atasan]],Table2[[#All],[Hierarchy]:[Kode Posisi]],2,FALSE),"")</f>
        <v>40-11-000-000</v>
      </c>
      <c r="P263" t="s">
        <v>27</v>
      </c>
      <c r="S263" t="str">
        <f>IFERROR(VLOOKUP(Table2[[#This Row],[ID Karyawan]],[1]!Table4[[#All],[Nik]:[Placement]],37,FALSE),"")</f>
        <v/>
      </c>
      <c r="T263" t="s">
        <v>24</v>
      </c>
      <c r="U263" t="s">
        <v>24</v>
      </c>
      <c r="V263" t="s">
        <v>24</v>
      </c>
    </row>
    <row r="264" spans="1:22">
      <c r="A264" t="s">
        <v>875</v>
      </c>
      <c r="B264" t="s">
        <v>876</v>
      </c>
      <c r="C264" s="9">
        <v>30293</v>
      </c>
      <c r="D264">
        <f ca="1">IF(Table2[[#This Row],[Tgl Lahir]]="","Unknown",DATEDIF(Table2[[#This Row],[Tgl Lahir]],TODAY(),"Y"))</f>
        <v>43</v>
      </c>
      <c r="E264" s="9">
        <v>38565</v>
      </c>
      <c r="F264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21 tahun 2 bulan</v>
      </c>
      <c r="G264" t="s">
        <v>702</v>
      </c>
      <c r="H264" t="s">
        <v>857</v>
      </c>
      <c r="I264" t="s">
        <v>857</v>
      </c>
      <c r="J264" t="s">
        <v>874</v>
      </c>
      <c r="K264" t="s">
        <v>877</v>
      </c>
      <c r="L264" t="str">
        <f>_xlfn.TEXTJOIN("/",TRUE,Table2[[#This Row],[Departemen]:[Unit]])</f>
        <v>HRD &amp; GA/HRD &amp; GA/Legal &amp; General Affairs/Legal</v>
      </c>
      <c r="M264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40-11-018-017</v>
      </c>
      <c r="N264" t="s">
        <v>878</v>
      </c>
      <c r="O264" t="str">
        <f>IFERROR(VLOOKUP(Table2[[#This Row],[Atasan]],Table2[[#All],[Hierarchy]:[Kode Posisi]],2,FALSE),"")</f>
        <v>40-11-018-000</v>
      </c>
      <c r="P264" t="s">
        <v>27</v>
      </c>
      <c r="S264" t="str">
        <f>IFERROR(VLOOKUP(Table2[[#This Row],[ID Karyawan]],[1]!Table4[[#All],[Nik]:[Placement]],37,FALSE),"")</f>
        <v/>
      </c>
      <c r="T264" t="s">
        <v>41</v>
      </c>
      <c r="U264" t="s">
        <v>879</v>
      </c>
      <c r="V264" t="s">
        <v>880</v>
      </c>
    </row>
    <row r="265" spans="1:22">
      <c r="A265" t="s">
        <v>881</v>
      </c>
      <c r="B265" t="s">
        <v>882</v>
      </c>
      <c r="C265" s="9">
        <v>35332</v>
      </c>
      <c r="D265">
        <f ca="1">IF(Table2[[#This Row],[Tgl Lahir]]="","Unknown",DATEDIF(Table2[[#This Row],[Tgl Lahir]],TODAY(),"Y"))</f>
        <v>30</v>
      </c>
      <c r="E265" s="9">
        <v>45628</v>
      </c>
      <c r="F265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 tahun 10 bulan</v>
      </c>
      <c r="G265" t="s">
        <v>77</v>
      </c>
      <c r="H265" t="s">
        <v>857</v>
      </c>
      <c r="I265" t="s">
        <v>857</v>
      </c>
      <c r="J265" t="s">
        <v>874</v>
      </c>
      <c r="K265" t="s">
        <v>883</v>
      </c>
      <c r="L265" t="str">
        <f>_xlfn.TEXTJOIN("/",TRUE,Table2[[#This Row],[Departemen]:[Unit]])</f>
        <v>HRD &amp; GA/HRD &amp; GA/Legal &amp; General Affairs/General Affairs</v>
      </c>
      <c r="M265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40-11-018-018</v>
      </c>
      <c r="N265" t="s">
        <v>878</v>
      </c>
      <c r="O265" t="str">
        <f>IFERROR(VLOOKUP(Table2[[#This Row],[Atasan]],Table2[[#All],[Hierarchy]:[Kode Posisi]],2,FALSE),"")</f>
        <v>40-11-018-000</v>
      </c>
      <c r="P265" t="s">
        <v>27</v>
      </c>
      <c r="S265" t="str">
        <f>IFERROR(VLOOKUP(Table2[[#This Row],[ID Karyawan]],[1]!Table4[[#All],[Nik]:[Placement]],37,FALSE),"")</f>
        <v/>
      </c>
      <c r="T265" t="s">
        <v>41</v>
      </c>
      <c r="U265" t="s">
        <v>24</v>
      </c>
      <c r="V265" t="s">
        <v>24</v>
      </c>
    </row>
    <row r="266" spans="1:22">
      <c r="A266" t="s">
        <v>884</v>
      </c>
      <c r="B266" t="s">
        <v>885</v>
      </c>
      <c r="C266" s="9">
        <v>30621</v>
      </c>
      <c r="D266">
        <f ca="1">IF(Table2[[#This Row],[Tgl Lahir]]="","Unknown",DATEDIF(Table2[[#This Row],[Tgl Lahir]],TODAY(),"Y"))</f>
        <v>42</v>
      </c>
      <c r="E266" s="9">
        <v>42705</v>
      </c>
      <c r="F266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9 tahun 10 bulan</v>
      </c>
      <c r="G266" t="s">
        <v>77</v>
      </c>
      <c r="H266" t="s">
        <v>857</v>
      </c>
      <c r="I266" t="s">
        <v>857</v>
      </c>
      <c r="J266" t="s">
        <v>874</v>
      </c>
      <c r="K266" t="s">
        <v>883</v>
      </c>
      <c r="L266" t="str">
        <f>_xlfn.TEXTJOIN("/",TRUE,Table2[[#This Row],[Departemen]:[Unit]])</f>
        <v>HRD &amp; GA/HRD &amp; GA/Legal &amp; General Affairs/General Affairs</v>
      </c>
      <c r="M266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40-11-018-018</v>
      </c>
      <c r="N266" t="s">
        <v>878</v>
      </c>
      <c r="O266" t="str">
        <f>IFERROR(VLOOKUP(Table2[[#This Row],[Atasan]],Table2[[#All],[Hierarchy]:[Kode Posisi]],2,FALSE),"")</f>
        <v>40-11-018-000</v>
      </c>
      <c r="P266" t="s">
        <v>27</v>
      </c>
      <c r="S266" t="str">
        <f>IFERROR(VLOOKUP(Table2[[#This Row],[ID Karyawan]],[1]!Table4[[#All],[Nik]:[Placement]],37,FALSE),"")</f>
        <v/>
      </c>
      <c r="T266" t="s">
        <v>41</v>
      </c>
      <c r="U266" t="s">
        <v>886</v>
      </c>
      <c r="V266" t="s">
        <v>887</v>
      </c>
    </row>
    <row r="267" spans="1:22">
      <c r="A267" t="s">
        <v>888</v>
      </c>
      <c r="B267" t="s">
        <v>889</v>
      </c>
      <c r="C267" s="9">
        <v>26431</v>
      </c>
      <c r="D267">
        <f ca="1">IF(Table2[[#This Row],[Tgl Lahir]]="","Unknown",DATEDIF(Table2[[#This Row],[Tgl Lahir]],TODAY(),"Y"))</f>
        <v>54</v>
      </c>
      <c r="E267" s="9">
        <v>35136</v>
      </c>
      <c r="F267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30 tahun 7 bulan</v>
      </c>
      <c r="G267" t="s">
        <v>890</v>
      </c>
      <c r="H267" t="s">
        <v>857</v>
      </c>
      <c r="I267" t="s">
        <v>857</v>
      </c>
      <c r="J267" t="s">
        <v>874</v>
      </c>
      <c r="K267" t="s">
        <v>890</v>
      </c>
      <c r="L267" t="str">
        <f>_xlfn.TEXTJOIN("/",TRUE,Table2[[#This Row],[Departemen]:[Unit]])</f>
        <v>HRD &amp; GA/HRD &amp; GA/Legal &amp; General Affairs/Driver</v>
      </c>
      <c r="M267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40-11-018-021</v>
      </c>
      <c r="N267" t="s">
        <v>891</v>
      </c>
      <c r="O267" t="str">
        <f>IFERROR(VLOOKUP(Table2[[#This Row],[Atasan]],Table2[[#All],[Hierarchy]:[Kode Posisi]],2,FALSE),"")</f>
        <v>40-11-018-018</v>
      </c>
      <c r="P267" t="s">
        <v>27</v>
      </c>
      <c r="S267" t="str">
        <f>IFERROR(VLOOKUP(Table2[[#This Row],[ID Karyawan]],[1]!Table4[[#All],[Nik]:[Placement]],37,FALSE),"")</f>
        <v/>
      </c>
      <c r="T267" t="s">
        <v>181</v>
      </c>
      <c r="U267">
        <v>0</v>
      </c>
      <c r="V267">
        <v>0</v>
      </c>
    </row>
    <row r="268" spans="1:22">
      <c r="A268" t="s">
        <v>892</v>
      </c>
      <c r="B268" t="s">
        <v>893</v>
      </c>
      <c r="C268" s="9">
        <v>28698</v>
      </c>
      <c r="D268">
        <f ca="1">IF(Table2[[#This Row],[Tgl Lahir]]="","Unknown",DATEDIF(Table2[[#This Row],[Tgl Lahir]],TODAY(),"Y"))</f>
        <v>48</v>
      </c>
      <c r="E268" s="9">
        <v>35143</v>
      </c>
      <c r="F268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30 tahun 6 bulan</v>
      </c>
      <c r="G268" t="s">
        <v>890</v>
      </c>
      <c r="H268" t="s">
        <v>857</v>
      </c>
      <c r="I268" t="s">
        <v>857</v>
      </c>
      <c r="J268" t="s">
        <v>874</v>
      </c>
      <c r="K268" t="s">
        <v>890</v>
      </c>
      <c r="L268" t="str">
        <f>_xlfn.TEXTJOIN("/",TRUE,Table2[[#This Row],[Departemen]:[Unit]])</f>
        <v>HRD &amp; GA/HRD &amp; GA/Legal &amp; General Affairs/Driver</v>
      </c>
      <c r="M268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40-11-018-021</v>
      </c>
      <c r="N268" t="s">
        <v>891</v>
      </c>
      <c r="O268" t="str">
        <f>IFERROR(VLOOKUP(Table2[[#This Row],[Atasan]],Table2[[#All],[Hierarchy]:[Kode Posisi]],2,FALSE),"")</f>
        <v>40-11-018-018</v>
      </c>
      <c r="P268" t="s">
        <v>27</v>
      </c>
      <c r="S268" t="str">
        <f>IFERROR(VLOOKUP(Table2[[#This Row],[ID Karyawan]],[1]!Table4[[#All],[Nik]:[Placement]],37,FALSE),"")</f>
        <v/>
      </c>
      <c r="T268" t="s">
        <v>181</v>
      </c>
      <c r="U268">
        <v>0</v>
      </c>
      <c r="V268">
        <v>0</v>
      </c>
    </row>
    <row r="269" spans="1:22">
      <c r="A269" t="s">
        <v>894</v>
      </c>
      <c r="B269" t="s">
        <v>895</v>
      </c>
      <c r="C269" s="9">
        <v>25394</v>
      </c>
      <c r="D269">
        <f ca="1">IF(Table2[[#This Row],[Tgl Lahir]]="","Unknown",DATEDIF(Table2[[#This Row],[Tgl Lahir]],TODAY(),"Y"))</f>
        <v>57</v>
      </c>
      <c r="E269" s="9">
        <v>35198</v>
      </c>
      <c r="F269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30 tahun 5 bulan</v>
      </c>
      <c r="G269" t="s">
        <v>890</v>
      </c>
      <c r="H269" t="s">
        <v>857</v>
      </c>
      <c r="I269" t="s">
        <v>857</v>
      </c>
      <c r="J269" t="s">
        <v>874</v>
      </c>
      <c r="K269" t="s">
        <v>890</v>
      </c>
      <c r="L269" t="str">
        <f>_xlfn.TEXTJOIN("/",TRUE,Table2[[#This Row],[Departemen]:[Unit]])</f>
        <v>HRD &amp; GA/HRD &amp; GA/Legal &amp; General Affairs/Driver</v>
      </c>
      <c r="M269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40-11-018-021</v>
      </c>
      <c r="N269" t="s">
        <v>891</v>
      </c>
      <c r="O269" t="str">
        <f>IFERROR(VLOOKUP(Table2[[#This Row],[Atasan]],Table2[[#All],[Hierarchy]:[Kode Posisi]],2,FALSE),"")</f>
        <v>40-11-018-018</v>
      </c>
      <c r="P269" t="s">
        <v>27</v>
      </c>
      <c r="S269" t="str">
        <f>IFERROR(VLOOKUP(Table2[[#This Row],[ID Karyawan]],[1]!Table4[[#All],[Nik]:[Placement]],37,FALSE),"")</f>
        <v/>
      </c>
      <c r="T269" t="s">
        <v>74</v>
      </c>
      <c r="U269">
        <v>0</v>
      </c>
      <c r="V269">
        <v>0</v>
      </c>
    </row>
    <row r="270" spans="1:22">
      <c r="A270" t="s">
        <v>896</v>
      </c>
      <c r="B270" t="s">
        <v>897</v>
      </c>
      <c r="C270" s="9">
        <v>26850</v>
      </c>
      <c r="D270">
        <f ca="1">IF(Table2[[#This Row],[Tgl Lahir]]="","Unknown",DATEDIF(Table2[[#This Row],[Tgl Lahir]],TODAY(),"Y"))</f>
        <v>53</v>
      </c>
      <c r="E270" s="9">
        <v>35247</v>
      </c>
      <c r="F270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30 tahun 3 bulan</v>
      </c>
      <c r="G270" t="s">
        <v>890</v>
      </c>
      <c r="H270" t="s">
        <v>857</v>
      </c>
      <c r="I270" t="s">
        <v>857</v>
      </c>
      <c r="J270" t="s">
        <v>874</v>
      </c>
      <c r="K270" t="s">
        <v>890</v>
      </c>
      <c r="L270" t="str">
        <f>_xlfn.TEXTJOIN("/",TRUE,Table2[[#This Row],[Departemen]:[Unit]])</f>
        <v>HRD &amp; GA/HRD &amp; GA/Legal &amp; General Affairs/Driver</v>
      </c>
      <c r="M270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40-11-018-021</v>
      </c>
      <c r="N270" t="s">
        <v>891</v>
      </c>
      <c r="O270" t="str">
        <f>IFERROR(VLOOKUP(Table2[[#This Row],[Atasan]],Table2[[#All],[Hierarchy]:[Kode Posisi]],2,FALSE),"")</f>
        <v>40-11-018-018</v>
      </c>
      <c r="P270" t="s">
        <v>27</v>
      </c>
      <c r="S270" t="str">
        <f>IFERROR(VLOOKUP(Table2[[#This Row],[ID Karyawan]],[1]!Table4[[#All],[Nik]:[Placement]],37,FALSE),"")</f>
        <v/>
      </c>
      <c r="T270" t="s">
        <v>181</v>
      </c>
      <c r="U270">
        <v>0</v>
      </c>
      <c r="V270">
        <v>0</v>
      </c>
    </row>
    <row r="271" spans="1:22">
      <c r="A271" t="s">
        <v>898</v>
      </c>
      <c r="B271" t="s">
        <v>497</v>
      </c>
      <c r="C271" s="9">
        <v>27621</v>
      </c>
      <c r="D271">
        <f ca="1">IF(Table2[[#This Row],[Tgl Lahir]]="","Unknown",DATEDIF(Table2[[#This Row],[Tgl Lahir]],TODAY(),"Y"))</f>
        <v>51</v>
      </c>
      <c r="E271" s="9">
        <v>35254</v>
      </c>
      <c r="F271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30 tahun 3 bulan</v>
      </c>
      <c r="G271" t="s">
        <v>890</v>
      </c>
      <c r="H271" t="s">
        <v>857</v>
      </c>
      <c r="I271" t="s">
        <v>857</v>
      </c>
      <c r="J271" t="s">
        <v>874</v>
      </c>
      <c r="K271" t="s">
        <v>890</v>
      </c>
      <c r="L271" t="str">
        <f>_xlfn.TEXTJOIN("/",TRUE,Table2[[#This Row],[Departemen]:[Unit]])</f>
        <v>HRD &amp; GA/HRD &amp; GA/Legal &amp; General Affairs/Driver</v>
      </c>
      <c r="M271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40-11-018-021</v>
      </c>
      <c r="N271" t="s">
        <v>891</v>
      </c>
      <c r="O271" t="str">
        <f>IFERROR(VLOOKUP(Table2[[#This Row],[Atasan]],Table2[[#All],[Hierarchy]:[Kode Posisi]],2,FALSE),"")</f>
        <v>40-11-018-018</v>
      </c>
      <c r="P271" t="s">
        <v>27</v>
      </c>
      <c r="S271" t="str">
        <f>IFERROR(VLOOKUP(Table2[[#This Row],[ID Karyawan]],[1]!Table4[[#All],[Nik]:[Placement]],37,FALSE),"")</f>
        <v/>
      </c>
      <c r="T271" t="s">
        <v>181</v>
      </c>
      <c r="U271">
        <v>0</v>
      </c>
      <c r="V271">
        <v>0</v>
      </c>
    </row>
    <row r="272" spans="1:22">
      <c r="A272" t="s">
        <v>899</v>
      </c>
      <c r="B272" t="s">
        <v>900</v>
      </c>
      <c r="C272" s="9">
        <v>28313</v>
      </c>
      <c r="D272">
        <f ca="1">IF(Table2[[#This Row],[Tgl Lahir]]="","Unknown",DATEDIF(Table2[[#This Row],[Tgl Lahir]],TODAY(),"Y"))</f>
        <v>49</v>
      </c>
      <c r="E272" s="9">
        <v>35516</v>
      </c>
      <c r="F272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6 bulan</v>
      </c>
      <c r="G272" t="s">
        <v>890</v>
      </c>
      <c r="H272" t="s">
        <v>857</v>
      </c>
      <c r="I272" t="s">
        <v>857</v>
      </c>
      <c r="J272" t="s">
        <v>874</v>
      </c>
      <c r="K272" t="s">
        <v>890</v>
      </c>
      <c r="L272" t="str">
        <f>_xlfn.TEXTJOIN("/",TRUE,Table2[[#This Row],[Departemen]:[Unit]])</f>
        <v>HRD &amp; GA/HRD &amp; GA/Legal &amp; General Affairs/Driver</v>
      </c>
      <c r="M272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40-11-018-021</v>
      </c>
      <c r="N272" t="s">
        <v>891</v>
      </c>
      <c r="O272" t="str">
        <f>IFERROR(VLOOKUP(Table2[[#This Row],[Atasan]],Table2[[#All],[Hierarchy]:[Kode Posisi]],2,FALSE),"")</f>
        <v>40-11-018-018</v>
      </c>
      <c r="P272" t="s">
        <v>27</v>
      </c>
      <c r="S272" t="str">
        <f>IFERROR(VLOOKUP(Table2[[#This Row],[ID Karyawan]],[1]!Table4[[#All],[Nik]:[Placement]],37,FALSE),"")</f>
        <v/>
      </c>
      <c r="T272" t="s">
        <v>181</v>
      </c>
      <c r="U272">
        <v>0</v>
      </c>
      <c r="V272">
        <v>0</v>
      </c>
    </row>
    <row r="273" spans="1:22">
      <c r="A273" t="s">
        <v>901</v>
      </c>
      <c r="B273" t="s">
        <v>902</v>
      </c>
      <c r="C273" s="9">
        <v>27461</v>
      </c>
      <c r="D273">
        <f ca="1">IF(Table2[[#This Row],[Tgl Lahir]]="","Unknown",DATEDIF(Table2[[#This Row],[Tgl Lahir]],TODAY(),"Y"))</f>
        <v>51</v>
      </c>
      <c r="E273" s="9">
        <v>35521</v>
      </c>
      <c r="F273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6 bulan</v>
      </c>
      <c r="G273" t="s">
        <v>890</v>
      </c>
      <c r="H273" t="s">
        <v>857</v>
      </c>
      <c r="I273" t="s">
        <v>857</v>
      </c>
      <c r="J273" t="s">
        <v>874</v>
      </c>
      <c r="K273" t="s">
        <v>890</v>
      </c>
      <c r="L273" t="str">
        <f>_xlfn.TEXTJOIN("/",TRUE,Table2[[#This Row],[Departemen]:[Unit]])</f>
        <v>HRD &amp; GA/HRD &amp; GA/Legal &amp; General Affairs/Driver</v>
      </c>
      <c r="M273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40-11-018-021</v>
      </c>
      <c r="N273" t="s">
        <v>891</v>
      </c>
      <c r="O273" t="str">
        <f>IFERROR(VLOOKUP(Table2[[#This Row],[Atasan]],Table2[[#All],[Hierarchy]:[Kode Posisi]],2,FALSE),"")</f>
        <v>40-11-018-018</v>
      </c>
      <c r="P273" t="s">
        <v>27</v>
      </c>
      <c r="S273" t="str">
        <f>IFERROR(VLOOKUP(Table2[[#This Row],[ID Karyawan]],[1]!Table4[[#All],[Nik]:[Placement]],37,FALSE),"")</f>
        <v/>
      </c>
      <c r="T273" t="s">
        <v>74</v>
      </c>
      <c r="U273">
        <v>0</v>
      </c>
      <c r="V273">
        <v>0</v>
      </c>
    </row>
    <row r="274" spans="1:22">
      <c r="A274" t="s">
        <v>903</v>
      </c>
      <c r="B274" t="s">
        <v>904</v>
      </c>
      <c r="C274" s="9">
        <v>20034</v>
      </c>
      <c r="D274">
        <f ca="1">IF(Table2[[#This Row],[Tgl Lahir]]="","Unknown",DATEDIF(Table2[[#This Row],[Tgl Lahir]],TODAY(),"Y"))</f>
        <v>71</v>
      </c>
      <c r="E274" s="9" t="s">
        <v>24</v>
      </c>
      <c r="F274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/>
      </c>
      <c r="G274" t="s">
        <v>890</v>
      </c>
      <c r="H274" t="s">
        <v>857</v>
      </c>
      <c r="I274" t="s">
        <v>857</v>
      </c>
      <c r="J274" t="s">
        <v>874</v>
      </c>
      <c r="K274" t="s">
        <v>890</v>
      </c>
      <c r="L274" t="str">
        <f>_xlfn.TEXTJOIN("/",TRUE,Table2[[#This Row],[Departemen]:[Unit]])</f>
        <v>HRD &amp; GA/HRD &amp; GA/Legal &amp; General Affairs/Driver</v>
      </c>
      <c r="M274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40-11-018-021</v>
      </c>
      <c r="N274" t="s">
        <v>891</v>
      </c>
      <c r="O274" t="str">
        <f>IFERROR(VLOOKUP(Table2[[#This Row],[Atasan]],Table2[[#All],[Hierarchy]:[Kode Posisi]],2,FALSE),"")</f>
        <v>40-11-018-018</v>
      </c>
      <c r="P274" t="s">
        <v>27</v>
      </c>
      <c r="S274" t="str">
        <f>IFERROR(VLOOKUP(Table2[[#This Row],[ID Karyawan]],[1]!Table4[[#All],[Nik]:[Placement]],37,FALSE),"")</f>
        <v/>
      </c>
      <c r="T274" t="s">
        <v>24</v>
      </c>
      <c r="U274" t="s">
        <v>24</v>
      </c>
      <c r="V274" t="s">
        <v>24</v>
      </c>
    </row>
    <row r="275" spans="1:22">
      <c r="A275" t="s">
        <v>905</v>
      </c>
      <c r="B275" t="s">
        <v>906</v>
      </c>
      <c r="C275" s="9">
        <v>26065</v>
      </c>
      <c r="D275">
        <f ca="1">IF(Table2[[#This Row],[Tgl Lahir]]="","Unknown",DATEDIF(Table2[[#This Row],[Tgl Lahir]],TODAY(),"Y"))</f>
        <v>55</v>
      </c>
      <c r="E275" s="9">
        <v>45108</v>
      </c>
      <c r="F275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 tahun 3 bulan</v>
      </c>
      <c r="G275" t="s">
        <v>890</v>
      </c>
      <c r="H275" t="s">
        <v>857</v>
      </c>
      <c r="I275" t="s">
        <v>857</v>
      </c>
      <c r="J275" t="s">
        <v>874</v>
      </c>
      <c r="K275" t="s">
        <v>890</v>
      </c>
      <c r="L275" t="str">
        <f>_xlfn.TEXTJOIN("/",TRUE,Table2[[#This Row],[Departemen]:[Unit]])</f>
        <v>HRD &amp; GA/HRD &amp; GA/Legal &amp; General Affairs/Driver</v>
      </c>
      <c r="M275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40-11-018-021</v>
      </c>
      <c r="N275" t="s">
        <v>891</v>
      </c>
      <c r="O275" t="str">
        <f>IFERROR(VLOOKUP(Table2[[#This Row],[Atasan]],Table2[[#All],[Hierarchy]:[Kode Posisi]],2,FALSE),"")</f>
        <v>40-11-018-018</v>
      </c>
      <c r="P275" t="s">
        <v>27</v>
      </c>
      <c r="S275" t="str">
        <f>IFERROR(VLOOKUP(Table2[[#This Row],[ID Karyawan]],[1]!Table4[[#All],[Nik]:[Placement]],37,FALSE),"")</f>
        <v/>
      </c>
      <c r="T275" t="s">
        <v>181</v>
      </c>
      <c r="U275">
        <v>0</v>
      </c>
      <c r="V275">
        <v>0</v>
      </c>
    </row>
    <row r="276" spans="1:22">
      <c r="A276" t="s">
        <v>907</v>
      </c>
      <c r="B276" t="s">
        <v>908</v>
      </c>
      <c r="C276" s="9">
        <v>29357</v>
      </c>
      <c r="D276">
        <f ca="1">IF(Table2[[#This Row],[Tgl Lahir]]="","Unknown",DATEDIF(Table2[[#This Row],[Tgl Lahir]],TODAY(),"Y"))</f>
        <v>46</v>
      </c>
      <c r="E276" s="9">
        <v>45308</v>
      </c>
      <c r="F276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 tahun 8 bulan</v>
      </c>
      <c r="G276" t="s">
        <v>890</v>
      </c>
      <c r="H276" t="s">
        <v>857</v>
      </c>
      <c r="I276" t="s">
        <v>857</v>
      </c>
      <c r="J276" t="s">
        <v>874</v>
      </c>
      <c r="K276" t="s">
        <v>890</v>
      </c>
      <c r="L276" t="str">
        <f>_xlfn.TEXTJOIN("/",TRUE,Table2[[#This Row],[Departemen]:[Unit]])</f>
        <v>HRD &amp; GA/HRD &amp; GA/Legal &amp; General Affairs/Driver</v>
      </c>
      <c r="M276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40-11-018-021</v>
      </c>
      <c r="N276" t="s">
        <v>891</v>
      </c>
      <c r="O276" t="str">
        <f>IFERROR(VLOOKUP(Table2[[#This Row],[Atasan]],Table2[[#All],[Hierarchy]:[Kode Posisi]],2,FALSE),"")</f>
        <v>40-11-018-018</v>
      </c>
      <c r="P276" t="s">
        <v>27</v>
      </c>
      <c r="S276" t="str">
        <f>IFERROR(VLOOKUP(Table2[[#This Row],[ID Karyawan]],[1]!Table4[[#All],[Nik]:[Placement]],37,FALSE),"")</f>
        <v/>
      </c>
      <c r="T276" t="s">
        <v>74</v>
      </c>
      <c r="U276">
        <v>0</v>
      </c>
      <c r="V276">
        <v>0</v>
      </c>
    </row>
    <row r="277" spans="1:22">
      <c r="A277" t="s">
        <v>909</v>
      </c>
      <c r="B277" t="s">
        <v>910</v>
      </c>
      <c r="C277" s="9">
        <v>28291</v>
      </c>
      <c r="D277">
        <f ca="1">IF(Table2[[#This Row],[Tgl Lahir]]="","Unknown",DATEDIF(Table2[[#This Row],[Tgl Lahir]],TODAY(),"Y"))</f>
        <v>49</v>
      </c>
      <c r="E277" s="9">
        <v>35355</v>
      </c>
      <c r="F277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11 bulan</v>
      </c>
      <c r="G277" t="s">
        <v>101</v>
      </c>
      <c r="H277" t="s">
        <v>857</v>
      </c>
      <c r="I277" t="s">
        <v>857</v>
      </c>
      <c r="J277" t="s">
        <v>874</v>
      </c>
      <c r="K277" t="s">
        <v>911</v>
      </c>
      <c r="L277" t="str">
        <f>_xlfn.TEXTJOIN("/",TRUE,Table2[[#This Row],[Departemen]:[Unit]])</f>
        <v>HRD &amp; GA/HRD &amp; GA/Legal &amp; General Affairs/Cleaning Service Umum</v>
      </c>
      <c r="M277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40-11-018-053</v>
      </c>
      <c r="N277" t="s">
        <v>891</v>
      </c>
      <c r="O277" t="str">
        <f>IFERROR(VLOOKUP(Table2[[#This Row],[Atasan]],Table2[[#All],[Hierarchy]:[Kode Posisi]],2,FALSE),"")</f>
        <v>40-11-018-018</v>
      </c>
      <c r="P277" t="s">
        <v>27</v>
      </c>
      <c r="S277" t="str">
        <f>IFERROR(VLOOKUP(Table2[[#This Row],[ID Karyawan]],[1]!Table4[[#All],[Nik]:[Placement]],37,FALSE),"")</f>
        <v/>
      </c>
      <c r="T277" t="s">
        <v>181</v>
      </c>
      <c r="U277">
        <v>0</v>
      </c>
      <c r="V277">
        <v>0</v>
      </c>
    </row>
    <row r="278" spans="1:22">
      <c r="A278" t="s">
        <v>912</v>
      </c>
      <c r="B278" t="s">
        <v>913</v>
      </c>
      <c r="C278" s="9">
        <v>26774</v>
      </c>
      <c r="D278">
        <f ca="1">IF(Table2[[#This Row],[Tgl Lahir]]="","Unknown",DATEDIF(Table2[[#This Row],[Tgl Lahir]],TODAY(),"Y"))</f>
        <v>53</v>
      </c>
      <c r="E278" s="9">
        <v>33850</v>
      </c>
      <c r="F278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34 tahun 1 bulan</v>
      </c>
      <c r="G278" t="s">
        <v>914</v>
      </c>
      <c r="H278" t="s">
        <v>857</v>
      </c>
      <c r="I278" t="s">
        <v>857</v>
      </c>
      <c r="J278" t="s">
        <v>874</v>
      </c>
      <c r="K278" t="s">
        <v>911</v>
      </c>
      <c r="L278" t="str">
        <f>_xlfn.TEXTJOIN("/",TRUE,Table2[[#This Row],[Departemen]:[Unit]])</f>
        <v>HRD &amp; GA/HRD &amp; GA/Legal &amp; General Affairs/Cleaning Service Umum</v>
      </c>
      <c r="M278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40-11-018-053</v>
      </c>
      <c r="N278" t="s">
        <v>891</v>
      </c>
      <c r="O278" t="str">
        <f>IFERROR(VLOOKUP(Table2[[#This Row],[Atasan]],Table2[[#All],[Hierarchy]:[Kode Posisi]],2,FALSE),"")</f>
        <v>40-11-018-018</v>
      </c>
      <c r="P278" t="s">
        <v>27</v>
      </c>
      <c r="S278" t="str">
        <f>IFERROR(VLOOKUP(Table2[[#This Row],[ID Karyawan]],[1]!Table4[[#All],[Nik]:[Placement]],37,FALSE),"")</f>
        <v/>
      </c>
      <c r="T278" t="s">
        <v>915</v>
      </c>
      <c r="U278">
        <v>0</v>
      </c>
      <c r="V278">
        <v>0</v>
      </c>
    </row>
    <row r="279" spans="1:22">
      <c r="A279" t="s">
        <v>916</v>
      </c>
      <c r="B279" t="s">
        <v>917</v>
      </c>
      <c r="C279" s="9">
        <v>25703</v>
      </c>
      <c r="D279">
        <f ca="1">IF(Table2[[#This Row],[Tgl Lahir]]="","Unknown",DATEDIF(Table2[[#This Row],[Tgl Lahir]],TODAY(),"Y"))</f>
        <v>56</v>
      </c>
      <c r="E279" s="9">
        <v>35542</v>
      </c>
      <c r="F279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5 bulan</v>
      </c>
      <c r="G279" t="s">
        <v>914</v>
      </c>
      <c r="H279" t="s">
        <v>857</v>
      </c>
      <c r="I279" t="s">
        <v>857</v>
      </c>
      <c r="J279" t="s">
        <v>874</v>
      </c>
      <c r="K279" t="s">
        <v>911</v>
      </c>
      <c r="L279" t="str">
        <f>_xlfn.TEXTJOIN("/",TRUE,Table2[[#This Row],[Departemen]:[Unit]])</f>
        <v>HRD &amp; GA/HRD &amp; GA/Legal &amp; General Affairs/Cleaning Service Umum</v>
      </c>
      <c r="M279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40-11-018-053</v>
      </c>
      <c r="N279" t="s">
        <v>891</v>
      </c>
      <c r="O279" t="str">
        <f>IFERROR(VLOOKUP(Table2[[#This Row],[Atasan]],Table2[[#All],[Hierarchy]:[Kode Posisi]],2,FALSE),"")</f>
        <v>40-11-018-018</v>
      </c>
      <c r="P279" t="s">
        <v>27</v>
      </c>
      <c r="S279" t="str">
        <f>IFERROR(VLOOKUP(Table2[[#This Row],[ID Karyawan]],[1]!Table4[[#All],[Nik]:[Placement]],37,FALSE),"")</f>
        <v/>
      </c>
      <c r="T279" t="s">
        <v>915</v>
      </c>
      <c r="U279">
        <v>0</v>
      </c>
      <c r="V279">
        <v>0</v>
      </c>
    </row>
    <row r="280" spans="1:22">
      <c r="A280" t="s">
        <v>918</v>
      </c>
      <c r="B280" t="s">
        <v>919</v>
      </c>
      <c r="C280" s="9">
        <v>29815</v>
      </c>
      <c r="D280">
        <f ca="1">IF(Table2[[#This Row],[Tgl Lahir]]="","Unknown",DATEDIF(Table2[[#This Row],[Tgl Lahir]],TODAY(),"Y"))</f>
        <v>45</v>
      </c>
      <c r="E280" s="9">
        <v>45184</v>
      </c>
      <c r="F280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 tahun 0 bulan</v>
      </c>
      <c r="G280" t="s">
        <v>702</v>
      </c>
      <c r="H280" t="s">
        <v>857</v>
      </c>
      <c r="I280" t="s">
        <v>857</v>
      </c>
      <c r="J280" t="s">
        <v>874</v>
      </c>
      <c r="K280" t="s">
        <v>920</v>
      </c>
      <c r="L280" t="str">
        <f>_xlfn.TEXTJOIN("/",TRUE,Table2[[#This Row],[Departemen]:[Unit]])</f>
        <v>HRD &amp; GA/HRD &amp; GA/Legal &amp; General Affairs/General Affairs Jakarta</v>
      </c>
      <c r="M280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40-11-018-054</v>
      </c>
      <c r="N280" t="s">
        <v>878</v>
      </c>
      <c r="O280" t="str">
        <f>IFERROR(VLOOKUP(Table2[[#This Row],[Atasan]],Table2[[#All],[Hierarchy]:[Kode Posisi]],2,FALSE),"")</f>
        <v>40-11-018-000</v>
      </c>
      <c r="P280" t="s">
        <v>27</v>
      </c>
      <c r="S280" t="str">
        <f>IFERROR(VLOOKUP(Table2[[#This Row],[ID Karyawan]],[1]!Table4[[#All],[Nik]:[Placement]],37,FALSE),"")</f>
        <v/>
      </c>
      <c r="T280" t="s">
        <v>74</v>
      </c>
      <c r="U280" t="s">
        <v>921</v>
      </c>
      <c r="V280" t="s">
        <v>922</v>
      </c>
    </row>
    <row r="281" spans="1:22">
      <c r="A281" t="s">
        <v>923</v>
      </c>
      <c r="B281" t="s">
        <v>924</v>
      </c>
      <c r="C281" s="9">
        <v>34190</v>
      </c>
      <c r="D281">
        <f ca="1">IF(Table2[[#This Row],[Tgl Lahir]]="","Unknown",DATEDIF(Table2[[#This Row],[Tgl Lahir]],TODAY(),"Y"))</f>
        <v>33</v>
      </c>
      <c r="E281" s="9">
        <v>45271</v>
      </c>
      <c r="F281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 tahun 10 bulan</v>
      </c>
      <c r="G281" t="s">
        <v>914</v>
      </c>
      <c r="H281" t="s">
        <v>857</v>
      </c>
      <c r="I281" t="s">
        <v>857</v>
      </c>
      <c r="J281" t="s">
        <v>874</v>
      </c>
      <c r="K281" t="s">
        <v>920</v>
      </c>
      <c r="L281" t="str">
        <f>_xlfn.TEXTJOIN("/",TRUE,Table2[[#This Row],[Departemen]:[Unit]])</f>
        <v>HRD &amp; GA/HRD &amp; GA/Legal &amp; General Affairs/General Affairs Jakarta</v>
      </c>
      <c r="M281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40-11-018-054</v>
      </c>
      <c r="N281" t="s">
        <v>878</v>
      </c>
      <c r="O281" t="str">
        <f>IFERROR(VLOOKUP(Table2[[#This Row],[Atasan]],Table2[[#All],[Hierarchy]:[Kode Posisi]],2,FALSE),"")</f>
        <v>40-11-018-000</v>
      </c>
      <c r="P281" t="s">
        <v>27</v>
      </c>
      <c r="S281" t="str">
        <f>IFERROR(VLOOKUP(Table2[[#This Row],[ID Karyawan]],[1]!Table4[[#All],[Nik]:[Placement]],37,FALSE),"")</f>
        <v/>
      </c>
      <c r="T281" t="s">
        <v>74</v>
      </c>
      <c r="U281">
        <v>0</v>
      </c>
      <c r="V281">
        <v>0</v>
      </c>
    </row>
    <row r="282" spans="1:22">
      <c r="A282" t="s">
        <v>925</v>
      </c>
      <c r="B282" t="s">
        <v>926</v>
      </c>
      <c r="C282" s="9">
        <v>38601</v>
      </c>
      <c r="D282">
        <f ca="1">IF(Table2[[#This Row],[Tgl Lahir]]="","Unknown",DATEDIF(Table2[[#This Row],[Tgl Lahir]],TODAY(),"Y"))</f>
        <v>21</v>
      </c>
      <c r="E282" s="9">
        <v>45698</v>
      </c>
      <c r="F282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 tahun 8 bulan</v>
      </c>
      <c r="G282" t="s">
        <v>914</v>
      </c>
      <c r="H282" t="s">
        <v>857</v>
      </c>
      <c r="I282" t="s">
        <v>857</v>
      </c>
      <c r="J282" t="s">
        <v>874</v>
      </c>
      <c r="K282" t="s">
        <v>920</v>
      </c>
      <c r="L282" t="str">
        <f>_xlfn.TEXTJOIN("/",TRUE,Table2[[#This Row],[Departemen]:[Unit]])</f>
        <v>HRD &amp; GA/HRD &amp; GA/Legal &amp; General Affairs/General Affairs Jakarta</v>
      </c>
      <c r="M282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40-11-018-054</v>
      </c>
      <c r="N282" t="s">
        <v>878</v>
      </c>
      <c r="O282" t="str">
        <f>IFERROR(VLOOKUP(Table2[[#This Row],[Atasan]],Table2[[#All],[Hierarchy]:[Kode Posisi]],2,FALSE),"")</f>
        <v>40-11-018-000</v>
      </c>
      <c r="P282" t="s">
        <v>27</v>
      </c>
      <c r="S282" t="str">
        <f>IFERROR(VLOOKUP(Table2[[#This Row],[ID Karyawan]],[1]!Table4[[#All],[Nik]:[Placement]],37,FALSE),"")</f>
        <v/>
      </c>
      <c r="T282" t="s">
        <v>74</v>
      </c>
      <c r="U282" t="s">
        <v>24</v>
      </c>
      <c r="V282" t="s">
        <v>24</v>
      </c>
    </row>
    <row r="283" spans="1:22">
      <c r="A283" t="s">
        <v>927</v>
      </c>
      <c r="B283" t="s">
        <v>928</v>
      </c>
      <c r="C283" s="9">
        <v>26115</v>
      </c>
      <c r="D283">
        <f ca="1">IF(Table2[[#This Row],[Tgl Lahir]]="","Unknown",DATEDIF(Table2[[#This Row],[Tgl Lahir]],TODAY(),"Y"))</f>
        <v>55</v>
      </c>
      <c r="E283" s="9">
        <v>35719</v>
      </c>
      <c r="F283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28 tahun 11 bulan</v>
      </c>
      <c r="G283" t="s">
        <v>71</v>
      </c>
      <c r="H283" t="s">
        <v>857</v>
      </c>
      <c r="I283" t="s">
        <v>857</v>
      </c>
      <c r="J283" t="s">
        <v>929</v>
      </c>
      <c r="L283" t="str">
        <f>_xlfn.TEXTJOIN("/",TRUE,Table2[[#This Row],[Departemen]:[Unit]])</f>
        <v>HRD &amp; GA/HRD &amp; GA/Safety</v>
      </c>
      <c r="M283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40-11-019-000</v>
      </c>
      <c r="N283" t="s">
        <v>863</v>
      </c>
      <c r="O283" t="str">
        <f>IFERROR(VLOOKUP(Table2[[#This Row],[Atasan]],Table2[[#All],[Hierarchy]:[Kode Posisi]],2,FALSE),"")</f>
        <v>40-11-000-000</v>
      </c>
      <c r="P283" t="s">
        <v>27</v>
      </c>
      <c r="S283" t="str">
        <f>IFERROR(VLOOKUP(Table2[[#This Row],[ID Karyawan]],[1]!Table4[[#All],[Nik]:[Placement]],37,FALSE),"")</f>
        <v/>
      </c>
      <c r="T283" t="s">
        <v>41</v>
      </c>
      <c r="U283" t="s">
        <v>930</v>
      </c>
      <c r="V283" t="s">
        <v>931</v>
      </c>
    </row>
    <row r="284" spans="1:22">
      <c r="A284" t="s">
        <v>932</v>
      </c>
      <c r="B284" t="s">
        <v>933</v>
      </c>
      <c r="C284" s="9">
        <v>26991</v>
      </c>
      <c r="D284">
        <f ca="1">IF(Table2[[#This Row],[Tgl Lahir]]="","Unknown",DATEDIF(Table2[[#This Row],[Tgl Lahir]],TODAY(),"Y"))</f>
        <v>52</v>
      </c>
      <c r="E284" s="9">
        <v>35562</v>
      </c>
      <c r="F284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5 bulan</v>
      </c>
      <c r="G284" t="s">
        <v>540</v>
      </c>
      <c r="H284" t="s">
        <v>857</v>
      </c>
      <c r="I284" t="s">
        <v>857</v>
      </c>
      <c r="J284" t="s">
        <v>929</v>
      </c>
      <c r="K284" t="s">
        <v>929</v>
      </c>
      <c r="L284" t="str">
        <f>_xlfn.TEXTJOIN("/",TRUE,Table2[[#This Row],[Departemen]:[Unit]])</f>
        <v>HRD &amp; GA/HRD &amp; GA/Safety/Safety</v>
      </c>
      <c r="M284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40-11-019-019</v>
      </c>
      <c r="N284" t="s">
        <v>934</v>
      </c>
      <c r="O284" t="str">
        <f>IFERROR(VLOOKUP(Table2[[#This Row],[Atasan]],Table2[[#All],[Hierarchy]:[Kode Posisi]],2,FALSE),"")</f>
        <v>40-11-019-000</v>
      </c>
      <c r="P284" t="s">
        <v>27</v>
      </c>
      <c r="S284" t="str">
        <f>IFERROR(VLOOKUP(Table2[[#This Row],[ID Karyawan]],[1]!Table4[[#All],[Nik]:[Placement]],37,FALSE),"")</f>
        <v/>
      </c>
      <c r="T284" t="s">
        <v>121</v>
      </c>
      <c r="U284" t="s">
        <v>935</v>
      </c>
      <c r="V284" t="s">
        <v>936</v>
      </c>
    </row>
    <row r="285" spans="1:22">
      <c r="A285" t="s">
        <v>937</v>
      </c>
      <c r="B285" t="s">
        <v>938</v>
      </c>
      <c r="C285" s="9">
        <v>28308</v>
      </c>
      <c r="D285">
        <f ca="1">IF(Table2[[#This Row],[Tgl Lahir]]="","Unknown",DATEDIF(Table2[[#This Row],[Tgl Lahir]],TODAY(),"Y"))</f>
        <v>49</v>
      </c>
      <c r="E285" s="9">
        <v>35488</v>
      </c>
      <c r="F285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7 bulan</v>
      </c>
      <c r="G285" t="s">
        <v>540</v>
      </c>
      <c r="H285" t="s">
        <v>857</v>
      </c>
      <c r="I285" t="s">
        <v>857</v>
      </c>
      <c r="J285" t="s">
        <v>929</v>
      </c>
      <c r="K285" t="s">
        <v>929</v>
      </c>
      <c r="L285" t="str">
        <f>_xlfn.TEXTJOIN("/",TRUE,Table2[[#This Row],[Departemen]:[Unit]])</f>
        <v>HRD &amp; GA/HRD &amp; GA/Safety/Safety</v>
      </c>
      <c r="M285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40-11-019-019</v>
      </c>
      <c r="N285" t="s">
        <v>934</v>
      </c>
      <c r="O285" t="str">
        <f>IFERROR(VLOOKUP(Table2[[#This Row],[Atasan]],Table2[[#All],[Hierarchy]:[Kode Posisi]],2,FALSE),"")</f>
        <v>40-11-019-000</v>
      </c>
      <c r="P285" t="s">
        <v>27</v>
      </c>
      <c r="S285" t="str">
        <f>IFERROR(VLOOKUP(Table2[[#This Row],[ID Karyawan]],[1]!Table4[[#All],[Nik]:[Placement]],37,FALSE),"")</f>
        <v/>
      </c>
      <c r="T285" t="s">
        <v>41</v>
      </c>
      <c r="U285" t="s">
        <v>939</v>
      </c>
      <c r="V285" t="s">
        <v>940</v>
      </c>
    </row>
    <row r="286" spans="1:22">
      <c r="A286" t="s">
        <v>941</v>
      </c>
      <c r="B286" t="s">
        <v>942</v>
      </c>
      <c r="C286" s="9">
        <v>27819</v>
      </c>
      <c r="D286">
        <f ca="1">IF(Table2[[#This Row],[Tgl Lahir]]="","Unknown",DATEDIF(Table2[[#This Row],[Tgl Lahir]],TODAY(),"Y"))</f>
        <v>50</v>
      </c>
      <c r="E286" s="9">
        <v>35495</v>
      </c>
      <c r="F286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7 bulan</v>
      </c>
      <c r="G286" t="s">
        <v>540</v>
      </c>
      <c r="H286" t="s">
        <v>857</v>
      </c>
      <c r="I286" t="s">
        <v>857</v>
      </c>
      <c r="J286" t="s">
        <v>929</v>
      </c>
      <c r="K286" t="s">
        <v>929</v>
      </c>
      <c r="L286" t="str">
        <f>_xlfn.TEXTJOIN("/",TRUE,Table2[[#This Row],[Departemen]:[Unit]])</f>
        <v>HRD &amp; GA/HRD &amp; GA/Safety/Safety</v>
      </c>
      <c r="M286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40-11-019-019</v>
      </c>
      <c r="N286" t="s">
        <v>934</v>
      </c>
      <c r="O286" t="str">
        <f>IFERROR(VLOOKUP(Table2[[#This Row],[Atasan]],Table2[[#All],[Hierarchy]:[Kode Posisi]],2,FALSE),"")</f>
        <v>40-11-019-000</v>
      </c>
      <c r="P286" t="s">
        <v>27</v>
      </c>
      <c r="S286" t="str">
        <f>IFERROR(VLOOKUP(Table2[[#This Row],[ID Karyawan]],[1]!Table4[[#All],[Nik]:[Placement]],37,FALSE),"")</f>
        <v/>
      </c>
      <c r="T286" t="s">
        <v>41</v>
      </c>
      <c r="U286" t="s">
        <v>943</v>
      </c>
      <c r="V286" t="s">
        <v>944</v>
      </c>
    </row>
    <row r="287" spans="1:22">
      <c r="A287" t="s">
        <v>945</v>
      </c>
      <c r="B287" t="s">
        <v>946</v>
      </c>
      <c r="C287" s="9">
        <v>28769</v>
      </c>
      <c r="D287">
        <f ca="1">IF(Table2[[#This Row],[Tgl Lahir]]="","Unknown",DATEDIF(Table2[[#This Row],[Tgl Lahir]],TODAY(),"Y"))</f>
        <v>48</v>
      </c>
      <c r="E287" s="9">
        <v>39417</v>
      </c>
      <c r="F287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18 tahun 10 bulan</v>
      </c>
      <c r="G287" t="s">
        <v>523</v>
      </c>
      <c r="H287" t="s">
        <v>857</v>
      </c>
      <c r="I287" t="s">
        <v>857</v>
      </c>
      <c r="J287" t="s">
        <v>929</v>
      </c>
      <c r="K287" t="s">
        <v>929</v>
      </c>
      <c r="L287" t="str">
        <f>_xlfn.TEXTJOIN("/",TRUE,Table2[[#This Row],[Departemen]:[Unit]])</f>
        <v>HRD &amp; GA/HRD &amp; GA/Safety/Safety</v>
      </c>
      <c r="M287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40-11-019-019</v>
      </c>
      <c r="N287" t="s">
        <v>934</v>
      </c>
      <c r="O287" t="str">
        <f>IFERROR(VLOOKUP(Table2[[#This Row],[Atasan]],Table2[[#All],[Hierarchy]:[Kode Posisi]],2,FALSE),"")</f>
        <v>40-11-019-000</v>
      </c>
      <c r="P287" t="s">
        <v>27</v>
      </c>
      <c r="S287" t="str">
        <f>IFERROR(VLOOKUP(Table2[[#This Row],[ID Karyawan]],[1]!Table4[[#All],[Nik]:[Placement]],37,FALSE),"")</f>
        <v/>
      </c>
      <c r="T287" t="s">
        <v>41</v>
      </c>
      <c r="U287">
        <v>0</v>
      </c>
      <c r="V287">
        <v>0</v>
      </c>
    </row>
    <row r="288" spans="1:22">
      <c r="A288" t="s">
        <v>947</v>
      </c>
      <c r="B288" t="s">
        <v>948</v>
      </c>
      <c r="C288" s="9">
        <v>25641</v>
      </c>
      <c r="D288">
        <f ca="1">IF(Table2[[#This Row],[Tgl Lahir]]="","Unknown",DATEDIF(Table2[[#This Row],[Tgl Lahir]],TODAY(),"Y"))</f>
        <v>56</v>
      </c>
      <c r="E288" s="9">
        <v>36434</v>
      </c>
      <c r="F288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27 tahun 0 bulan</v>
      </c>
      <c r="G288" t="s">
        <v>77</v>
      </c>
      <c r="H288" t="s">
        <v>857</v>
      </c>
      <c r="I288" t="s">
        <v>857</v>
      </c>
      <c r="J288" t="s">
        <v>949</v>
      </c>
      <c r="L288" t="str">
        <f>_xlfn.TEXTJOIN("/",TRUE,Table2[[#This Row],[Departemen]:[Unit]])</f>
        <v>HRD &amp; GA/HRD &amp; GA/Security</v>
      </c>
      <c r="M288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40-11-031-000</v>
      </c>
      <c r="N288" t="s">
        <v>863</v>
      </c>
      <c r="O288" t="str">
        <f>IFERROR(VLOOKUP(Table2[[#This Row],[Atasan]],Table2[[#All],[Hierarchy]:[Kode Posisi]],2,FALSE),"")</f>
        <v>40-11-000-000</v>
      </c>
      <c r="P288" t="s">
        <v>27</v>
      </c>
      <c r="S288" t="str">
        <f>IFERROR(VLOOKUP(Table2[[#This Row],[ID Karyawan]],[1]!Table4[[#All],[Nik]:[Placement]],37,FALSE),"")</f>
        <v/>
      </c>
      <c r="T288" t="s">
        <v>74</v>
      </c>
      <c r="U288">
        <v>0</v>
      </c>
      <c r="V288">
        <v>0</v>
      </c>
    </row>
    <row r="289" spans="1:22">
      <c r="A289" t="s">
        <v>950</v>
      </c>
      <c r="B289" t="s">
        <v>951</v>
      </c>
      <c r="C289" s="9">
        <v>28405</v>
      </c>
      <c r="D289">
        <f ca="1">IF(Table2[[#This Row],[Tgl Lahir]]="","Unknown",DATEDIF(Table2[[#This Row],[Tgl Lahir]],TODAY(),"Y"))</f>
        <v>49</v>
      </c>
      <c r="E289" s="9">
        <v>35270</v>
      </c>
      <c r="F289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30 tahun 2 bulan</v>
      </c>
      <c r="G289" t="s">
        <v>101</v>
      </c>
      <c r="H289" t="s">
        <v>857</v>
      </c>
      <c r="I289" t="s">
        <v>857</v>
      </c>
      <c r="J289" t="s">
        <v>949</v>
      </c>
      <c r="K289" t="s">
        <v>949</v>
      </c>
      <c r="L289" t="str">
        <f>_xlfn.TEXTJOIN("/",TRUE,Table2[[#This Row],[Departemen]:[Unit]])</f>
        <v>HRD &amp; GA/HRD &amp; GA/Security/Security</v>
      </c>
      <c r="M289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40-11-031-020</v>
      </c>
      <c r="N289" t="s">
        <v>952</v>
      </c>
      <c r="O289" t="str">
        <f>IFERROR(VLOOKUP(Table2[[#This Row],[Atasan]],Table2[[#All],[Hierarchy]:[Kode Posisi]],2,FALSE),"")</f>
        <v>40-11-031-000</v>
      </c>
      <c r="P289" t="s">
        <v>27</v>
      </c>
      <c r="S289" t="str">
        <f>IFERROR(VLOOKUP(Table2[[#This Row],[ID Karyawan]],[1]!Table4[[#All],[Nik]:[Placement]],37,FALSE),"")</f>
        <v/>
      </c>
      <c r="T289" t="s">
        <v>181</v>
      </c>
      <c r="U289">
        <v>0</v>
      </c>
      <c r="V289">
        <v>0</v>
      </c>
    </row>
    <row r="290" spans="1:22">
      <c r="A290" t="s">
        <v>953</v>
      </c>
      <c r="B290" t="s">
        <v>954</v>
      </c>
      <c r="C290" s="9">
        <v>27978</v>
      </c>
      <c r="D290">
        <f ca="1">IF(Table2[[#This Row],[Tgl Lahir]]="","Unknown",DATEDIF(Table2[[#This Row],[Tgl Lahir]],TODAY(),"Y"))</f>
        <v>50</v>
      </c>
      <c r="E290" s="9">
        <v>36572</v>
      </c>
      <c r="F290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26 tahun 7 bulan</v>
      </c>
      <c r="G290" t="s">
        <v>101</v>
      </c>
      <c r="H290" t="s">
        <v>857</v>
      </c>
      <c r="I290" t="s">
        <v>857</v>
      </c>
      <c r="J290" t="s">
        <v>949</v>
      </c>
      <c r="K290" t="s">
        <v>949</v>
      </c>
      <c r="L290" t="str">
        <f>_xlfn.TEXTJOIN("/",TRUE,Table2[[#This Row],[Departemen]:[Unit]])</f>
        <v>HRD &amp; GA/HRD &amp; GA/Security/Security</v>
      </c>
      <c r="M290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40-11-031-020</v>
      </c>
      <c r="N290" t="s">
        <v>952</v>
      </c>
      <c r="O290" t="str">
        <f>IFERROR(VLOOKUP(Table2[[#This Row],[Atasan]],Table2[[#All],[Hierarchy]:[Kode Posisi]],2,FALSE),"")</f>
        <v>40-11-031-000</v>
      </c>
      <c r="P290" t="s">
        <v>27</v>
      </c>
      <c r="S290" t="str">
        <f>IFERROR(VLOOKUP(Table2[[#This Row],[ID Karyawan]],[1]!Table4[[#All],[Nik]:[Placement]],37,FALSE),"")</f>
        <v/>
      </c>
      <c r="T290" t="s">
        <v>181</v>
      </c>
      <c r="U290">
        <v>0</v>
      </c>
      <c r="V290">
        <v>0</v>
      </c>
    </row>
    <row r="291" spans="1:22">
      <c r="A291" t="s">
        <v>955</v>
      </c>
      <c r="B291" t="s">
        <v>956</v>
      </c>
      <c r="C291" s="9">
        <v>33553</v>
      </c>
      <c r="D291">
        <f ca="1">IF(Table2[[#This Row],[Tgl Lahir]]="","Unknown",DATEDIF(Table2[[#This Row],[Tgl Lahir]],TODAY(),"Y"))</f>
        <v>34</v>
      </c>
      <c r="E291" s="9">
        <v>45037</v>
      </c>
      <c r="F291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 tahun 5 bulan</v>
      </c>
      <c r="G291" t="s">
        <v>101</v>
      </c>
      <c r="H291" t="s">
        <v>857</v>
      </c>
      <c r="I291" t="s">
        <v>857</v>
      </c>
      <c r="J291" t="s">
        <v>949</v>
      </c>
      <c r="K291" t="s">
        <v>949</v>
      </c>
      <c r="L291" t="str">
        <f>_xlfn.TEXTJOIN("/",TRUE,Table2[[#This Row],[Departemen]:[Unit]])</f>
        <v>HRD &amp; GA/HRD &amp; GA/Security/Security</v>
      </c>
      <c r="M291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40-11-031-020</v>
      </c>
      <c r="N291" t="s">
        <v>952</v>
      </c>
      <c r="O291" t="str">
        <f>IFERROR(VLOOKUP(Table2[[#This Row],[Atasan]],Table2[[#All],[Hierarchy]:[Kode Posisi]],2,FALSE),"")</f>
        <v>40-11-031-000</v>
      </c>
      <c r="P291" t="s">
        <v>27</v>
      </c>
      <c r="S291" t="str">
        <f>IFERROR(VLOOKUP(Table2[[#This Row],[ID Karyawan]],[1]!Table4[[#All],[Nik]:[Placement]],37,FALSE),"")</f>
        <v/>
      </c>
      <c r="T291" t="s">
        <v>41</v>
      </c>
      <c r="U291" t="s">
        <v>957</v>
      </c>
      <c r="V291" t="s">
        <v>958</v>
      </c>
    </row>
    <row r="292" spans="1:22">
      <c r="A292" t="s">
        <v>959</v>
      </c>
      <c r="B292" t="s">
        <v>960</v>
      </c>
      <c r="C292" s="9">
        <v>32241</v>
      </c>
      <c r="D292">
        <f ca="1">IF(Table2[[#This Row],[Tgl Lahir]]="","Unknown",DATEDIF(Table2[[#This Row],[Tgl Lahir]],TODAY(),"Y"))</f>
        <v>38</v>
      </c>
      <c r="E292" s="9">
        <v>45659</v>
      </c>
      <c r="F292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 tahun 9 bulan</v>
      </c>
      <c r="G292" t="s">
        <v>101</v>
      </c>
      <c r="H292" t="s">
        <v>857</v>
      </c>
      <c r="I292" t="s">
        <v>857</v>
      </c>
      <c r="J292" t="s">
        <v>949</v>
      </c>
      <c r="K292" t="s">
        <v>949</v>
      </c>
      <c r="L292" t="str">
        <f>_xlfn.TEXTJOIN("/",TRUE,Table2[[#This Row],[Departemen]:[Unit]])</f>
        <v>HRD &amp; GA/HRD &amp; GA/Security/Security</v>
      </c>
      <c r="M292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40-11-031-020</v>
      </c>
      <c r="N292" t="s">
        <v>952</v>
      </c>
      <c r="O292" t="str">
        <f>IFERROR(VLOOKUP(Table2[[#This Row],[Atasan]],Table2[[#All],[Hierarchy]:[Kode Posisi]],2,FALSE),"")</f>
        <v>40-11-031-000</v>
      </c>
      <c r="P292" t="s">
        <v>27</v>
      </c>
      <c r="S292" t="str">
        <f>IFERROR(VLOOKUP(Table2[[#This Row],[ID Karyawan]],[1]!Table4[[#All],[Nik]:[Placement]],37,FALSE),"")</f>
        <v/>
      </c>
      <c r="T292" t="s">
        <v>74</v>
      </c>
      <c r="U292" t="s">
        <v>24</v>
      </c>
      <c r="V292" t="s">
        <v>24</v>
      </c>
    </row>
    <row r="293" spans="1:22">
      <c r="A293" t="s">
        <v>961</v>
      </c>
      <c r="B293" t="s">
        <v>962</v>
      </c>
      <c r="C293" s="9">
        <v>24626</v>
      </c>
      <c r="D293">
        <f ca="1">IF(Table2[[#This Row],[Tgl Lahir]]="","Unknown",DATEDIF(Table2[[#This Row],[Tgl Lahir]],TODAY(),"Y"))</f>
        <v>59</v>
      </c>
      <c r="E293" s="9">
        <v>33695</v>
      </c>
      <c r="F293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34 tahun 6 bulan</v>
      </c>
      <c r="G293" t="s">
        <v>963</v>
      </c>
      <c r="H293" t="s">
        <v>857</v>
      </c>
      <c r="I293" t="s">
        <v>857</v>
      </c>
      <c r="J293" t="s">
        <v>964</v>
      </c>
      <c r="L293" t="str">
        <f>_xlfn.TEXTJOIN("/",TRUE,Table2[[#This Row],[Departemen]:[Unit]])</f>
        <v>HRD &amp; GA/HRD &amp; GA/Corporate Secretariate</v>
      </c>
      <c r="M293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40-11-033-000</v>
      </c>
      <c r="N293" t="s">
        <v>863</v>
      </c>
      <c r="O293" t="str">
        <f>IFERROR(VLOOKUP(Table2[[#This Row],[Atasan]],Table2[[#All],[Hierarchy]:[Kode Posisi]],2,FALSE),"")</f>
        <v>40-11-000-000</v>
      </c>
      <c r="P293" t="s">
        <v>27</v>
      </c>
      <c r="S293" t="str">
        <f>IFERROR(VLOOKUP(Table2[[#This Row],[ID Karyawan]],[1]!Table4[[#All],[Nik]:[Placement]],37,FALSE),"")</f>
        <v/>
      </c>
      <c r="T293" t="s">
        <v>74</v>
      </c>
      <c r="U293" t="s">
        <v>965</v>
      </c>
      <c r="V293" t="s">
        <v>966</v>
      </c>
    </row>
    <row r="294" spans="1:22">
      <c r="A294" t="s">
        <v>850</v>
      </c>
      <c r="B294" t="s">
        <v>851</v>
      </c>
      <c r="C294" s="9">
        <v>33052</v>
      </c>
      <c r="D294">
        <f ca="1">IF(Table2[[#This Row],[Tgl Lahir]]="","Unknown",DATEDIF(Table2[[#This Row],[Tgl Lahir]],TODAY(),"Y"))</f>
        <v>36</v>
      </c>
      <c r="E294" s="9">
        <v>45369</v>
      </c>
      <c r="F294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 tahun 6 bulan</v>
      </c>
      <c r="G294" t="s">
        <v>67</v>
      </c>
      <c r="H294" t="s">
        <v>857</v>
      </c>
      <c r="I294" t="s">
        <v>967</v>
      </c>
      <c r="L294" t="str">
        <f>_xlfn.TEXTJOIN("/",TRUE,Table2[[#This Row],[Departemen]:[Unit]])</f>
        <v>HRD &amp; GA/HR Strategy &amp; Planning</v>
      </c>
      <c r="M294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40-12-000-000</v>
      </c>
      <c r="N294" t="s">
        <v>857</v>
      </c>
      <c r="O294" t="str">
        <f>IFERROR(VLOOKUP(Table2[[#This Row],[Atasan]],Table2[[#All],[Hierarchy]:[Kode Posisi]],2,FALSE),"")</f>
        <v>40-00-000-000</v>
      </c>
      <c r="P294" t="s">
        <v>27</v>
      </c>
      <c r="S294" t="str">
        <f>IFERROR(VLOOKUP(Table2[[#This Row],[ID Karyawan]],[1]!Table4[[#All],[Nik]:[Placement]],37,FALSE),"")</f>
        <v/>
      </c>
      <c r="T294" t="s">
        <v>41</v>
      </c>
      <c r="U294" t="s">
        <v>855</v>
      </c>
      <c r="V294" t="s">
        <v>856</v>
      </c>
    </row>
    <row r="295" spans="1:22">
      <c r="A295" t="s">
        <v>968</v>
      </c>
      <c r="B295" t="s">
        <v>969</v>
      </c>
      <c r="C295" s="9">
        <v>35503</v>
      </c>
      <c r="D295">
        <f ca="1">IF(Table2[[#This Row],[Tgl Lahir]]="","Unknown",DATEDIF(Table2[[#This Row],[Tgl Lahir]],TODAY(),"Y"))</f>
        <v>29</v>
      </c>
      <c r="E295" s="9">
        <v>45964</v>
      </c>
      <c r="F295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11 bulan</v>
      </c>
      <c r="G295" t="s">
        <v>970</v>
      </c>
      <c r="H295" t="s">
        <v>857</v>
      </c>
      <c r="I295" t="s">
        <v>967</v>
      </c>
      <c r="J295" t="s">
        <v>967</v>
      </c>
      <c r="L295" t="str">
        <f>_xlfn.TEXTJOIN("/",TRUE,Table2[[#This Row],[Departemen]:[Unit]])</f>
        <v>HRD &amp; GA/HR Strategy &amp; Planning/HR Strategy &amp; Planning</v>
      </c>
      <c r="M295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40-12-032-000</v>
      </c>
      <c r="N295" t="s">
        <v>971</v>
      </c>
      <c r="O295" t="str">
        <f>IFERROR(VLOOKUP(Table2[[#This Row],[Atasan]],Table2[[#All],[Hierarchy]:[Kode Posisi]],2,FALSE),"")</f>
        <v>40-12-000-000</v>
      </c>
      <c r="P295" t="s">
        <v>27</v>
      </c>
      <c r="S295" t="str">
        <f>IFERROR(VLOOKUP(Table2[[#This Row],[ID Karyawan]],[1]!Table4[[#All],[Nik]:[Placement]],37,FALSE),"")</f>
        <v/>
      </c>
      <c r="T295" t="s">
        <v>41</v>
      </c>
      <c r="U295" t="s">
        <v>24</v>
      </c>
      <c r="V295" t="s">
        <v>24</v>
      </c>
    </row>
    <row r="296" spans="1:22">
      <c r="A296" t="s">
        <v>37</v>
      </c>
      <c r="B296" t="s">
        <v>38</v>
      </c>
      <c r="C296" s="9">
        <v>23565</v>
      </c>
      <c r="D296" s="11">
        <f ca="1">IF(Table2[[#This Row],[Tgl Lahir]]="","Unknown",DATEDIF(Table2[[#This Row],[Tgl Lahir]],TODAY(),"Y"))</f>
        <v>62</v>
      </c>
      <c r="E296" s="9">
        <v>35431</v>
      </c>
      <c r="F296" s="11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9 bulan</v>
      </c>
      <c r="G296" t="s">
        <v>60</v>
      </c>
      <c r="H296" t="s">
        <v>972</v>
      </c>
      <c r="K296" s="11"/>
      <c r="L296" s="11" t="str">
        <f>_xlfn.TEXTJOIN("/",TRUE,Table2[[#This Row],[Departemen]:[Unit]])</f>
        <v>Supply Chain</v>
      </c>
      <c r="M296" s="11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50-00-000-000</v>
      </c>
      <c r="N296" t="s">
        <v>40</v>
      </c>
      <c r="O296" s="11" t="str">
        <f>IFERROR(VLOOKUP(Table2[[#This Row],[Atasan]],Table2[[#All],[Hierarchy]:[Kode Posisi]],2,FALSE),"")</f>
        <v>02-00-000-000</v>
      </c>
      <c r="P296" s="11" t="s">
        <v>62</v>
      </c>
      <c r="Q296" s="11"/>
      <c r="R296" s="11"/>
      <c r="S296" s="11" t="str">
        <f>IFERROR(VLOOKUP(Table2[[#This Row],[ID Karyawan]],[1]!Table4[[#All],[Nik]:[Placement]],37,FALSE),"")</f>
        <v/>
      </c>
      <c r="T296" s="11"/>
      <c r="U296" s="11"/>
      <c r="V296" s="11"/>
    </row>
    <row r="297" spans="1:22">
      <c r="A297" t="s">
        <v>55</v>
      </c>
      <c r="B297" t="s">
        <v>56</v>
      </c>
      <c r="C297" s="9">
        <v>32024</v>
      </c>
      <c r="D297">
        <f ca="1">IF(Table2[[#This Row],[Tgl Lahir]]="","Unknown",DATEDIF(Table2[[#This Row],[Tgl Lahir]],TODAY(),"Y"))</f>
        <v>39</v>
      </c>
      <c r="E297" s="9">
        <v>45296</v>
      </c>
      <c r="F297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 tahun 9 bulan</v>
      </c>
      <c r="G297" t="s">
        <v>65</v>
      </c>
      <c r="H297" t="s">
        <v>972</v>
      </c>
      <c r="L297" t="str">
        <f>_xlfn.TEXTJOIN("/",TRUE,Table2[[#This Row],[Departemen]:[Unit]])</f>
        <v>Supply Chain</v>
      </c>
      <c r="M297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50-00-000-000</v>
      </c>
      <c r="N297" t="s">
        <v>40</v>
      </c>
      <c r="O297" t="str">
        <f>IFERROR(VLOOKUP(Table2[[#This Row],[Atasan]],Table2[[#All],[Hierarchy]:[Kode Posisi]],2,FALSE),"")</f>
        <v>02-00-000-000</v>
      </c>
      <c r="P297" t="s">
        <v>62</v>
      </c>
      <c r="S297" t="str">
        <f>IFERROR(VLOOKUP(Table2[[#This Row],[ID Karyawan]],[1]!Table4[[#All],[Nik]:[Placement]],37,FALSE),"")</f>
        <v/>
      </c>
      <c r="T297" t="s">
        <v>41</v>
      </c>
      <c r="U297" t="s">
        <v>24</v>
      </c>
      <c r="V297" t="s">
        <v>24</v>
      </c>
    </row>
    <row r="298" spans="1:22">
      <c r="A298" t="s">
        <v>973</v>
      </c>
      <c r="B298" t="s">
        <v>974</v>
      </c>
      <c r="C298" s="9">
        <v>32994</v>
      </c>
      <c r="D298">
        <f ca="1">IF(Table2[[#This Row],[Tgl Lahir]]="","Unknown",DATEDIF(Table2[[#This Row],[Tgl Lahir]],TODAY(),"Y"))</f>
        <v>36</v>
      </c>
      <c r="E298" s="9">
        <v>45719</v>
      </c>
      <c r="F298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 tahun 7 bulan</v>
      </c>
      <c r="G298" t="s">
        <v>67</v>
      </c>
      <c r="H298" t="s">
        <v>972</v>
      </c>
      <c r="I298" t="s">
        <v>972</v>
      </c>
      <c r="L298" t="str">
        <f>_xlfn.TEXTJOIN("/",TRUE,Table2[[#This Row],[Departemen]:[Unit]])</f>
        <v>Supply Chain/Supply Chain</v>
      </c>
      <c r="M298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50-06-000-000</v>
      </c>
      <c r="N298" t="s">
        <v>972</v>
      </c>
      <c r="O298" t="str">
        <f>IFERROR(VLOOKUP(Table2[[#This Row],[Atasan]],Table2[[#All],[Hierarchy]:[Kode Posisi]],2,FALSE),"")</f>
        <v>50-00-000-000</v>
      </c>
      <c r="P298" t="s">
        <v>27</v>
      </c>
      <c r="S298" t="str">
        <f>IFERROR(VLOOKUP(Table2[[#This Row],[ID Karyawan]],[1]!Table4[[#All],[Nik]:[Placement]],37,FALSE),"")</f>
        <v/>
      </c>
      <c r="T298" t="s">
        <v>41</v>
      </c>
      <c r="U298" t="s">
        <v>24</v>
      </c>
      <c r="V298" t="s">
        <v>24</v>
      </c>
    </row>
    <row r="299" spans="1:22">
      <c r="A299" t="s">
        <v>975</v>
      </c>
      <c r="B299" t="s">
        <v>976</v>
      </c>
      <c r="C299" s="9">
        <v>34331</v>
      </c>
      <c r="D299">
        <f ca="1">IF(Table2[[#This Row],[Tgl Lahir]]="","Unknown",DATEDIF(Table2[[#This Row],[Tgl Lahir]],TODAY(),"Y"))</f>
        <v>32</v>
      </c>
      <c r="E299" s="9">
        <v>46034</v>
      </c>
      <c r="F299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9 bulan</v>
      </c>
      <c r="G299" t="s">
        <v>551</v>
      </c>
      <c r="H299" t="s">
        <v>972</v>
      </c>
      <c r="I299" t="s">
        <v>972</v>
      </c>
      <c r="L299" t="str">
        <f>_xlfn.TEXTJOIN("/",TRUE,Table2[[#This Row],[Departemen]:[Unit]])</f>
        <v>Supply Chain/Supply Chain</v>
      </c>
      <c r="M299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50-06-000-000</v>
      </c>
      <c r="N299" t="s">
        <v>972</v>
      </c>
      <c r="O299" t="str">
        <f>IFERROR(VLOOKUP(Table2[[#This Row],[Atasan]],Table2[[#All],[Hierarchy]:[Kode Posisi]],2,FALSE),"")</f>
        <v>50-00-000-000</v>
      </c>
      <c r="P299" t="s">
        <v>27</v>
      </c>
      <c r="S299" t="str">
        <f>IFERROR(VLOOKUP(Table2[[#This Row],[ID Karyawan]],[1]!Table4[[#All],[Nik]:[Placement]],37,FALSE),"")</f>
        <v/>
      </c>
      <c r="T299" t="s">
        <v>41</v>
      </c>
      <c r="U299" t="s">
        <v>24</v>
      </c>
      <c r="V299" t="s">
        <v>24</v>
      </c>
    </row>
    <row r="300" spans="1:22">
      <c r="A300" t="s">
        <v>977</v>
      </c>
      <c r="B300" t="s">
        <v>978</v>
      </c>
      <c r="C300" s="9">
        <v>31325</v>
      </c>
      <c r="D300">
        <f ca="1">IF(Table2[[#This Row],[Tgl Lahir]]="","Unknown",DATEDIF(Table2[[#This Row],[Tgl Lahir]],TODAY(),"Y"))</f>
        <v>41</v>
      </c>
      <c r="E300" s="9">
        <v>38728</v>
      </c>
      <c r="F300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20 tahun 9 bulan</v>
      </c>
      <c r="G300" t="s">
        <v>551</v>
      </c>
      <c r="H300" t="s">
        <v>972</v>
      </c>
      <c r="I300" t="s">
        <v>972</v>
      </c>
      <c r="L300" t="str">
        <f>_xlfn.TEXTJOIN("/",TRUE,Table2[[#This Row],[Departemen]:[Unit]])</f>
        <v>Supply Chain/Supply Chain</v>
      </c>
      <c r="M300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50-06-000-000</v>
      </c>
      <c r="N300" t="s">
        <v>972</v>
      </c>
      <c r="O300" t="str">
        <f>IFERROR(VLOOKUP(Table2[[#This Row],[Atasan]],Table2[[#All],[Hierarchy]:[Kode Posisi]],2,FALSE),"")</f>
        <v>50-00-000-000</v>
      </c>
      <c r="P300" t="s">
        <v>27</v>
      </c>
      <c r="S300" t="str">
        <f>IFERROR(VLOOKUP(Table2[[#This Row],[ID Karyawan]],[1]!Table4[[#All],[Nik]:[Placement]],37,FALSE),"")</f>
        <v/>
      </c>
      <c r="T300" t="s">
        <v>41</v>
      </c>
      <c r="U300" t="s">
        <v>84</v>
      </c>
      <c r="V300">
        <v>0</v>
      </c>
    </row>
    <row r="301" spans="1:22">
      <c r="A301"/>
      <c r="C301" s="9" t="s">
        <v>24</v>
      </c>
      <c r="D301" t="str">
        <f ca="1">IF(Table2[[#This Row],[Tgl Lahir]]="","Unknown",DATEDIF(Table2[[#This Row],[Tgl Lahir]],TODAY(),"Y"))</f>
        <v>Unknown</v>
      </c>
      <c r="E301" s="9" t="s">
        <v>24</v>
      </c>
      <c r="F301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/>
      </c>
      <c r="G301" t="s">
        <v>71</v>
      </c>
      <c r="H301" t="s">
        <v>972</v>
      </c>
      <c r="I301" t="s">
        <v>972</v>
      </c>
      <c r="J301" t="s">
        <v>979</v>
      </c>
      <c r="L301" t="str">
        <f>_xlfn.TEXTJOIN("/",TRUE,Table2[[#This Row],[Departemen]:[Unit]])</f>
        <v>Supply Chain/Supply Chain/PPIC</v>
      </c>
      <c r="M301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50-06-008-000</v>
      </c>
      <c r="N301" t="s">
        <v>980</v>
      </c>
      <c r="O301" t="str">
        <f>IFERROR(VLOOKUP(Table2[[#This Row],[Atasan]],Table2[[#All],[Hierarchy]:[Kode Posisi]],2,FALSE),"")</f>
        <v>50-06-000-000</v>
      </c>
      <c r="P301" t="s">
        <v>27</v>
      </c>
      <c r="S301" t="str">
        <f>IFERROR(VLOOKUP(Table2[[#This Row],[ID Karyawan]],[1]!Table4[[#All],[Nik]:[Placement]],37,FALSE),"")</f>
        <v/>
      </c>
      <c r="T301" t="s">
        <v>24</v>
      </c>
      <c r="U301" t="s">
        <v>24</v>
      </c>
      <c r="V301" t="s">
        <v>24</v>
      </c>
    </row>
    <row r="302" spans="1:22">
      <c r="A302" t="s">
        <v>981</v>
      </c>
      <c r="B302" t="s">
        <v>982</v>
      </c>
      <c r="C302" s="9">
        <v>27462</v>
      </c>
      <c r="D302">
        <f ca="1">IF(Table2[[#This Row],[Tgl Lahir]]="","Unknown",DATEDIF(Table2[[#This Row],[Tgl Lahir]],TODAY(),"Y"))</f>
        <v>51</v>
      </c>
      <c r="E302" s="9">
        <v>34337</v>
      </c>
      <c r="F302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32 tahun 9 bulan</v>
      </c>
      <c r="G302" t="s">
        <v>540</v>
      </c>
      <c r="H302" t="s">
        <v>972</v>
      </c>
      <c r="I302" t="s">
        <v>972</v>
      </c>
      <c r="J302" t="s">
        <v>979</v>
      </c>
      <c r="K302" t="s">
        <v>979</v>
      </c>
      <c r="L302" t="str">
        <f>_xlfn.TEXTJOIN("/",TRUE,Table2[[#This Row],[Departemen]:[Unit]])</f>
        <v>Supply Chain/Supply Chain/PPIC/PPIC</v>
      </c>
      <c r="M302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50-06-008-040</v>
      </c>
      <c r="N302" t="s">
        <v>983</v>
      </c>
      <c r="O302" t="str">
        <f>IFERROR(VLOOKUP(Table2[[#This Row],[Atasan]],Table2[[#All],[Hierarchy]:[Kode Posisi]],2,FALSE),"")</f>
        <v>50-06-008-000</v>
      </c>
      <c r="P302" t="s">
        <v>27</v>
      </c>
      <c r="S302" t="str">
        <f>IFERROR(VLOOKUP(Table2[[#This Row],[ID Karyawan]],[1]!Table4[[#All],[Nik]:[Placement]],37,FALSE),"")</f>
        <v/>
      </c>
      <c r="T302" t="s">
        <v>74</v>
      </c>
      <c r="U302">
        <v>0</v>
      </c>
      <c r="V302">
        <v>0</v>
      </c>
    </row>
    <row r="303" spans="1:22">
      <c r="A303" t="s">
        <v>984</v>
      </c>
      <c r="B303" t="s">
        <v>985</v>
      </c>
      <c r="C303" s="9">
        <v>34471</v>
      </c>
      <c r="D303">
        <f ca="1">IF(Table2[[#This Row],[Tgl Lahir]]="","Unknown",DATEDIF(Table2[[#This Row],[Tgl Lahir]],TODAY(),"Y"))</f>
        <v>32</v>
      </c>
      <c r="E303" s="9">
        <v>42760</v>
      </c>
      <c r="F303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9 tahun 8 bulan</v>
      </c>
      <c r="G303" t="s">
        <v>523</v>
      </c>
      <c r="H303" t="s">
        <v>972</v>
      </c>
      <c r="I303" t="s">
        <v>972</v>
      </c>
      <c r="J303" t="s">
        <v>979</v>
      </c>
      <c r="K303" t="s">
        <v>979</v>
      </c>
      <c r="L303" t="str">
        <f>_xlfn.TEXTJOIN("/",TRUE,Table2[[#This Row],[Departemen]:[Unit]])</f>
        <v>Supply Chain/Supply Chain/PPIC/PPIC</v>
      </c>
      <c r="M303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50-06-008-040</v>
      </c>
      <c r="N303" t="s">
        <v>983</v>
      </c>
      <c r="O303" t="str">
        <f>IFERROR(VLOOKUP(Table2[[#This Row],[Atasan]],Table2[[#All],[Hierarchy]:[Kode Posisi]],2,FALSE),"")</f>
        <v>50-06-008-000</v>
      </c>
      <c r="P303" t="s">
        <v>27</v>
      </c>
      <c r="S303" t="str">
        <f>IFERROR(VLOOKUP(Table2[[#This Row],[ID Karyawan]],[1]!Table4[[#All],[Nik]:[Placement]],37,FALSE),"")</f>
        <v/>
      </c>
      <c r="T303" t="s">
        <v>74</v>
      </c>
      <c r="U303" t="s">
        <v>704</v>
      </c>
      <c r="V303" t="s">
        <v>986</v>
      </c>
    </row>
    <row r="304" spans="1:22">
      <c r="A304" t="s">
        <v>987</v>
      </c>
      <c r="B304" t="s">
        <v>988</v>
      </c>
      <c r="C304" s="9">
        <v>36762</v>
      </c>
      <c r="D304">
        <f ca="1">IF(Table2[[#This Row],[Tgl Lahir]]="","Unknown",DATEDIF(Table2[[#This Row],[Tgl Lahir]],TODAY(),"Y"))</f>
        <v>26</v>
      </c>
      <c r="E304" s="9">
        <v>44473</v>
      </c>
      <c r="F304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5 tahun 0 bulan</v>
      </c>
      <c r="G304" t="s">
        <v>523</v>
      </c>
      <c r="H304" t="s">
        <v>972</v>
      </c>
      <c r="I304" t="s">
        <v>972</v>
      </c>
      <c r="J304" t="s">
        <v>979</v>
      </c>
      <c r="K304" t="s">
        <v>979</v>
      </c>
      <c r="L304" t="str">
        <f>_xlfn.TEXTJOIN("/",TRUE,Table2[[#This Row],[Departemen]:[Unit]])</f>
        <v>Supply Chain/Supply Chain/PPIC/PPIC</v>
      </c>
      <c r="M304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50-06-008-040</v>
      </c>
      <c r="N304" t="s">
        <v>983</v>
      </c>
      <c r="O304" t="str">
        <f>IFERROR(VLOOKUP(Table2[[#This Row],[Atasan]],Table2[[#All],[Hierarchy]:[Kode Posisi]],2,FALSE),"")</f>
        <v>50-06-008-000</v>
      </c>
      <c r="P304" t="s">
        <v>27</v>
      </c>
      <c r="S304" t="str">
        <f>IFERROR(VLOOKUP(Table2[[#This Row],[ID Karyawan]],[1]!Table4[[#All],[Nik]:[Placement]],37,FALSE),"")</f>
        <v/>
      </c>
      <c r="T304" t="s">
        <v>121</v>
      </c>
      <c r="U304" t="s">
        <v>989</v>
      </c>
      <c r="V304" t="s">
        <v>990</v>
      </c>
    </row>
    <row r="305" spans="1:22">
      <c r="A305" t="s">
        <v>991</v>
      </c>
      <c r="B305" t="s">
        <v>992</v>
      </c>
      <c r="C305" s="9">
        <v>35362</v>
      </c>
      <c r="D305">
        <f ca="1">IF(Table2[[#This Row],[Tgl Lahir]]="","Unknown",DATEDIF(Table2[[#This Row],[Tgl Lahir]],TODAY(),"Y"))</f>
        <v>29</v>
      </c>
      <c r="E305" s="9">
        <v>45621</v>
      </c>
      <c r="F305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 tahun 10 bulan</v>
      </c>
      <c r="G305" t="s">
        <v>702</v>
      </c>
      <c r="H305" t="s">
        <v>972</v>
      </c>
      <c r="I305" t="s">
        <v>972</v>
      </c>
      <c r="J305" t="s">
        <v>979</v>
      </c>
      <c r="K305" t="s">
        <v>979</v>
      </c>
      <c r="L305" t="str">
        <f>_xlfn.TEXTJOIN("/",TRUE,Table2[[#This Row],[Departemen]:[Unit]])</f>
        <v>Supply Chain/Supply Chain/PPIC/PPIC</v>
      </c>
      <c r="M305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50-06-008-040</v>
      </c>
      <c r="N305" t="s">
        <v>983</v>
      </c>
      <c r="O305" t="str">
        <f>IFERROR(VLOOKUP(Table2[[#This Row],[Atasan]],Table2[[#All],[Hierarchy]:[Kode Posisi]],2,FALSE),"")</f>
        <v>50-06-008-000</v>
      </c>
      <c r="P305" t="s">
        <v>27</v>
      </c>
      <c r="S305" t="str">
        <f>IFERROR(VLOOKUP(Table2[[#This Row],[ID Karyawan]],[1]!Table4[[#All],[Nik]:[Placement]],37,FALSE),"")</f>
        <v/>
      </c>
      <c r="T305" t="s">
        <v>41</v>
      </c>
      <c r="U305" t="s">
        <v>24</v>
      </c>
      <c r="V305" t="s">
        <v>24</v>
      </c>
    </row>
    <row r="306" spans="1:22">
      <c r="A306" t="s">
        <v>993</v>
      </c>
      <c r="B306" t="s">
        <v>994</v>
      </c>
      <c r="C306" s="9">
        <v>26089</v>
      </c>
      <c r="D306">
        <f ca="1">IF(Table2[[#This Row],[Tgl Lahir]]="","Unknown",DATEDIF(Table2[[#This Row],[Tgl Lahir]],TODAY(),"Y"))</f>
        <v>55</v>
      </c>
      <c r="E306" s="9">
        <v>33574</v>
      </c>
      <c r="F306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34 tahun 10 bulan</v>
      </c>
      <c r="G306" t="s">
        <v>71</v>
      </c>
      <c r="H306" t="s">
        <v>972</v>
      </c>
      <c r="I306" t="s">
        <v>972</v>
      </c>
      <c r="J306" t="s">
        <v>995</v>
      </c>
      <c r="L306" t="str">
        <f>_xlfn.TEXTJOIN("/",TRUE,Table2[[#This Row],[Departemen]:[Unit]])</f>
        <v>Supply Chain/Supply Chain/Warehouse</v>
      </c>
      <c r="M306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50-06-009-000</v>
      </c>
      <c r="N306" t="s">
        <v>980</v>
      </c>
      <c r="O306" t="str">
        <f>IFERROR(VLOOKUP(Table2[[#This Row],[Atasan]],Table2[[#All],[Hierarchy]:[Kode Posisi]],2,FALSE),"")</f>
        <v>50-06-000-000</v>
      </c>
      <c r="P306" t="s">
        <v>27</v>
      </c>
      <c r="S306" t="str">
        <f>IFERROR(VLOOKUP(Table2[[#This Row],[ID Karyawan]],[1]!Table4[[#All],[Nik]:[Placement]],37,FALSE),"")</f>
        <v/>
      </c>
      <c r="T306" t="s">
        <v>74</v>
      </c>
      <c r="U306">
        <v>0</v>
      </c>
      <c r="V306">
        <v>0</v>
      </c>
    </row>
    <row r="307" spans="1:22">
      <c r="A307" t="s">
        <v>996</v>
      </c>
      <c r="B307" t="s">
        <v>997</v>
      </c>
      <c r="C307" s="9">
        <v>28557</v>
      </c>
      <c r="D307">
        <f ca="1">IF(Table2[[#This Row],[Tgl Lahir]]="","Unknown",DATEDIF(Table2[[#This Row],[Tgl Lahir]],TODAY(),"Y"))</f>
        <v>48</v>
      </c>
      <c r="E307" s="9">
        <v>35758</v>
      </c>
      <c r="F307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28 tahun 10 bulan</v>
      </c>
      <c r="G307" t="s">
        <v>77</v>
      </c>
      <c r="H307" t="s">
        <v>972</v>
      </c>
      <c r="I307" t="s">
        <v>972</v>
      </c>
      <c r="J307" t="s">
        <v>995</v>
      </c>
      <c r="K307" t="s">
        <v>998</v>
      </c>
      <c r="L307" t="str">
        <f>_xlfn.TEXTJOIN("/",TRUE,Table2[[#This Row],[Departemen]:[Unit]])</f>
        <v>Supply Chain/Supply Chain/Warehouse/Raw Material Warehouse</v>
      </c>
      <c r="M307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50-06-009-008</v>
      </c>
      <c r="N307" t="s">
        <v>999</v>
      </c>
      <c r="O307" t="str">
        <f>IFERROR(VLOOKUP(Table2[[#This Row],[Atasan]],Table2[[#All],[Hierarchy]:[Kode Posisi]],2,FALSE),"")</f>
        <v>50-06-009-000</v>
      </c>
      <c r="P307" t="s">
        <v>27</v>
      </c>
      <c r="S307" t="str">
        <f>IFERROR(VLOOKUP(Table2[[#This Row],[ID Karyawan]],[1]!Table4[[#All],[Nik]:[Placement]],37,FALSE),"")</f>
        <v/>
      </c>
      <c r="T307" t="s">
        <v>74</v>
      </c>
      <c r="U307" t="s">
        <v>231</v>
      </c>
      <c r="V307" t="s">
        <v>1000</v>
      </c>
    </row>
    <row r="308" spans="1:22">
      <c r="A308" t="s">
        <v>1001</v>
      </c>
      <c r="B308" t="s">
        <v>1002</v>
      </c>
      <c r="C308" s="9">
        <v>28553</v>
      </c>
      <c r="D308">
        <f ca="1">IF(Table2[[#This Row],[Tgl Lahir]]="","Unknown",DATEDIF(Table2[[#This Row],[Tgl Lahir]],TODAY(),"Y"))</f>
        <v>48</v>
      </c>
      <c r="E308" s="9">
        <v>39539</v>
      </c>
      <c r="F308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18 tahun 6 bulan</v>
      </c>
      <c r="G308" t="s">
        <v>77</v>
      </c>
      <c r="H308" t="s">
        <v>972</v>
      </c>
      <c r="I308" t="s">
        <v>972</v>
      </c>
      <c r="J308" t="s">
        <v>995</v>
      </c>
      <c r="K308" t="s">
        <v>998</v>
      </c>
      <c r="L308" t="str">
        <f>_xlfn.TEXTJOIN("/",TRUE,Table2[[#This Row],[Departemen]:[Unit]])</f>
        <v>Supply Chain/Supply Chain/Warehouse/Raw Material Warehouse</v>
      </c>
      <c r="M308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50-06-009-008</v>
      </c>
      <c r="N308" t="s">
        <v>999</v>
      </c>
      <c r="O308" t="str">
        <f>IFERROR(VLOOKUP(Table2[[#This Row],[Atasan]],Table2[[#All],[Hierarchy]:[Kode Posisi]],2,FALSE),"")</f>
        <v>50-06-009-000</v>
      </c>
      <c r="P308" t="s">
        <v>27</v>
      </c>
      <c r="S308" t="str">
        <f>IFERROR(VLOOKUP(Table2[[#This Row],[ID Karyawan]],[1]!Table4[[#All],[Nik]:[Placement]],37,FALSE),"")</f>
        <v/>
      </c>
      <c r="T308" t="s">
        <v>41</v>
      </c>
      <c r="U308" t="s">
        <v>117</v>
      </c>
      <c r="V308" t="s">
        <v>1003</v>
      </c>
    </row>
    <row r="309" spans="1:22">
      <c r="A309" t="s">
        <v>1004</v>
      </c>
      <c r="B309" t="s">
        <v>1005</v>
      </c>
      <c r="C309" s="9">
        <v>32844</v>
      </c>
      <c r="D309">
        <f ca="1">IF(Table2[[#This Row],[Tgl Lahir]]="","Unknown",DATEDIF(Table2[[#This Row],[Tgl Lahir]],TODAY(),"Y"))</f>
        <v>36</v>
      </c>
      <c r="E309" s="9">
        <v>45890</v>
      </c>
      <c r="F309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 tahun 1 bulan</v>
      </c>
      <c r="G309" t="s">
        <v>77</v>
      </c>
      <c r="H309" t="s">
        <v>972</v>
      </c>
      <c r="I309" t="s">
        <v>972</v>
      </c>
      <c r="J309" t="s">
        <v>995</v>
      </c>
      <c r="K309" t="s">
        <v>1006</v>
      </c>
      <c r="L309" t="str">
        <f>_xlfn.TEXTJOIN("/",TRUE,Table2[[#This Row],[Departemen]:[Unit]])</f>
        <v>Supply Chain/Supply Chain/Warehouse/Parts &amp; Technical Warehouse</v>
      </c>
      <c r="M309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50-06-009-009</v>
      </c>
      <c r="N309" t="s">
        <v>999</v>
      </c>
      <c r="O309" t="str">
        <f>IFERROR(VLOOKUP(Table2[[#This Row],[Atasan]],Table2[[#All],[Hierarchy]:[Kode Posisi]],2,FALSE),"")</f>
        <v>50-06-009-000</v>
      </c>
      <c r="P309" t="s">
        <v>27</v>
      </c>
      <c r="S309" t="str">
        <f>IFERROR(VLOOKUP(Table2[[#This Row],[ID Karyawan]],[1]!Table4[[#All],[Nik]:[Placement]],37,FALSE),"")</f>
        <v/>
      </c>
      <c r="T309" t="s">
        <v>41</v>
      </c>
      <c r="U309" t="s">
        <v>24</v>
      </c>
      <c r="V309" t="s">
        <v>24</v>
      </c>
    </row>
    <row r="310" spans="1:22">
      <c r="A310" t="s">
        <v>1007</v>
      </c>
      <c r="B310" t="s">
        <v>1008</v>
      </c>
      <c r="C310" s="9">
        <v>26226</v>
      </c>
      <c r="D310">
        <f ca="1">IF(Table2[[#This Row],[Tgl Lahir]]="","Unknown",DATEDIF(Table2[[#This Row],[Tgl Lahir]],TODAY(),"Y"))</f>
        <v>54</v>
      </c>
      <c r="E310" s="9">
        <v>35559</v>
      </c>
      <c r="F310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5 bulan</v>
      </c>
      <c r="G310" t="s">
        <v>77</v>
      </c>
      <c r="H310" t="s">
        <v>972</v>
      </c>
      <c r="I310" t="s">
        <v>972</v>
      </c>
      <c r="J310" t="s">
        <v>995</v>
      </c>
      <c r="K310" t="s">
        <v>1009</v>
      </c>
      <c r="L310" t="str">
        <f>_xlfn.TEXTJOIN("/",TRUE,Table2[[#This Row],[Departemen]:[Unit]])</f>
        <v>Supply Chain/Supply Chain/Warehouse/Finished Goods Warehouse</v>
      </c>
      <c r="M310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50-06-009-010</v>
      </c>
      <c r="N310" t="s">
        <v>999</v>
      </c>
      <c r="O310" t="str">
        <f>IFERROR(VLOOKUP(Table2[[#This Row],[Atasan]],Table2[[#All],[Hierarchy]:[Kode Posisi]],2,FALSE),"")</f>
        <v>50-06-009-000</v>
      </c>
      <c r="P310" t="s">
        <v>27</v>
      </c>
      <c r="S310" t="str">
        <f>IFERROR(VLOOKUP(Table2[[#This Row],[ID Karyawan]],[1]!Table4[[#All],[Nik]:[Placement]],37,FALSE),"")</f>
        <v/>
      </c>
      <c r="T310" t="s">
        <v>74</v>
      </c>
      <c r="U310" t="s">
        <v>79</v>
      </c>
      <c r="V310" t="s">
        <v>1010</v>
      </c>
    </row>
    <row r="311" spans="1:22">
      <c r="A311" t="s">
        <v>1011</v>
      </c>
      <c r="B311" t="s">
        <v>1012</v>
      </c>
      <c r="C311" s="9">
        <v>27595</v>
      </c>
      <c r="D311">
        <f ca="1">IF(Table2[[#This Row],[Tgl Lahir]]="","Unknown",DATEDIF(Table2[[#This Row],[Tgl Lahir]],TODAY(),"Y"))</f>
        <v>51</v>
      </c>
      <c r="E311" s="9">
        <v>34725</v>
      </c>
      <c r="F311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31 tahun 8 bulan</v>
      </c>
      <c r="G311" t="s">
        <v>523</v>
      </c>
      <c r="H311" t="s">
        <v>972</v>
      </c>
      <c r="I311" t="s">
        <v>972</v>
      </c>
      <c r="J311" t="s">
        <v>995</v>
      </c>
      <c r="K311" t="s">
        <v>1013</v>
      </c>
      <c r="L311" t="str">
        <f>_xlfn.TEXTJOIN("/",TRUE,Table2[[#This Row],[Departemen]:[Unit]])</f>
        <v>Supply Chain/Supply Chain/Warehouse/Raw Material Warehouse Team</v>
      </c>
      <c r="M311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50-06-009-042</v>
      </c>
      <c r="N311" t="s">
        <v>1014</v>
      </c>
      <c r="O311" t="str">
        <f>IFERROR(VLOOKUP(Table2[[#This Row],[Atasan]],Table2[[#All],[Hierarchy]:[Kode Posisi]],2,FALSE),"")</f>
        <v>50-06-009-008</v>
      </c>
      <c r="P311" t="s">
        <v>27</v>
      </c>
      <c r="S311" t="str">
        <f>IFERROR(VLOOKUP(Table2[[#This Row],[ID Karyawan]],[1]!Table4[[#All],[Nik]:[Placement]],37,FALSE),"")</f>
        <v/>
      </c>
      <c r="T311" t="s">
        <v>74</v>
      </c>
      <c r="U311">
        <v>0</v>
      </c>
      <c r="V311">
        <v>0</v>
      </c>
    </row>
    <row r="312" spans="1:22">
      <c r="A312" t="s">
        <v>1015</v>
      </c>
      <c r="B312" t="s">
        <v>1016</v>
      </c>
      <c r="C312" s="9">
        <v>28049</v>
      </c>
      <c r="D312">
        <f ca="1">IF(Table2[[#This Row],[Tgl Lahir]]="","Unknown",DATEDIF(Table2[[#This Row],[Tgl Lahir]],TODAY(),"Y"))</f>
        <v>49</v>
      </c>
      <c r="E312" s="9">
        <v>37760</v>
      </c>
      <c r="F312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23 tahun 4 bulan</v>
      </c>
      <c r="G312" t="s">
        <v>101</v>
      </c>
      <c r="H312" t="s">
        <v>972</v>
      </c>
      <c r="I312" t="s">
        <v>972</v>
      </c>
      <c r="J312" t="s">
        <v>995</v>
      </c>
      <c r="K312" t="s">
        <v>1013</v>
      </c>
      <c r="L312" t="str">
        <f>_xlfn.TEXTJOIN("/",TRUE,Table2[[#This Row],[Departemen]:[Unit]])</f>
        <v>Supply Chain/Supply Chain/Warehouse/Raw Material Warehouse Team</v>
      </c>
      <c r="M312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50-06-009-042</v>
      </c>
      <c r="N312" t="s">
        <v>1014</v>
      </c>
      <c r="O312" t="str">
        <f>IFERROR(VLOOKUP(Table2[[#This Row],[Atasan]],Table2[[#All],[Hierarchy]:[Kode Posisi]],2,FALSE),"")</f>
        <v>50-06-009-008</v>
      </c>
      <c r="P312" t="s">
        <v>27</v>
      </c>
      <c r="S312" t="str">
        <f>IFERROR(VLOOKUP(Table2[[#This Row],[ID Karyawan]],[1]!Table4[[#All],[Nik]:[Placement]],37,FALSE),"")</f>
        <v/>
      </c>
      <c r="T312" t="s">
        <v>74</v>
      </c>
      <c r="U312">
        <v>0</v>
      </c>
      <c r="V312">
        <v>0</v>
      </c>
    </row>
    <row r="313" spans="1:22">
      <c r="A313" t="s">
        <v>1017</v>
      </c>
      <c r="B313" t="s">
        <v>1018</v>
      </c>
      <c r="C313" s="9">
        <v>29388</v>
      </c>
      <c r="D313">
        <f ca="1">IF(Table2[[#This Row],[Tgl Lahir]]="","Unknown",DATEDIF(Table2[[#This Row],[Tgl Lahir]],TODAY(),"Y"))</f>
        <v>46</v>
      </c>
      <c r="E313" s="9">
        <v>41276</v>
      </c>
      <c r="F313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13 tahun 9 bulan</v>
      </c>
      <c r="G313" t="s">
        <v>523</v>
      </c>
      <c r="H313" t="s">
        <v>972</v>
      </c>
      <c r="I313" t="s">
        <v>972</v>
      </c>
      <c r="J313" t="s">
        <v>995</v>
      </c>
      <c r="K313" t="s">
        <v>1013</v>
      </c>
      <c r="L313" t="str">
        <f>_xlfn.TEXTJOIN("/",TRUE,Table2[[#This Row],[Departemen]:[Unit]])</f>
        <v>Supply Chain/Supply Chain/Warehouse/Raw Material Warehouse Team</v>
      </c>
      <c r="M313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50-06-009-042</v>
      </c>
      <c r="N313" t="s">
        <v>1014</v>
      </c>
      <c r="O313" t="str">
        <f>IFERROR(VLOOKUP(Table2[[#This Row],[Atasan]],Table2[[#All],[Hierarchy]:[Kode Posisi]],2,FALSE),"")</f>
        <v>50-06-009-008</v>
      </c>
      <c r="P313" t="s">
        <v>27</v>
      </c>
      <c r="S313" t="str">
        <f>IFERROR(VLOOKUP(Table2[[#This Row],[ID Karyawan]],[1]!Table4[[#All],[Nik]:[Placement]],37,FALSE),"")</f>
        <v/>
      </c>
      <c r="T313" t="s">
        <v>74</v>
      </c>
      <c r="U313" t="s">
        <v>1019</v>
      </c>
      <c r="V313" t="s">
        <v>1020</v>
      </c>
    </row>
    <row r="314" spans="1:22">
      <c r="A314" t="s">
        <v>1021</v>
      </c>
      <c r="B314" t="s">
        <v>1022</v>
      </c>
      <c r="C314" s="9">
        <v>28809</v>
      </c>
      <c r="D314">
        <f ca="1">IF(Table2[[#This Row],[Tgl Lahir]]="","Unknown",DATEDIF(Table2[[#This Row],[Tgl Lahir]],TODAY(),"Y"))</f>
        <v>47</v>
      </c>
      <c r="E314" s="9">
        <v>41276</v>
      </c>
      <c r="F314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13 tahun 9 bulan</v>
      </c>
      <c r="G314" t="s">
        <v>101</v>
      </c>
      <c r="H314" t="s">
        <v>972</v>
      </c>
      <c r="I314" t="s">
        <v>972</v>
      </c>
      <c r="J314" t="s">
        <v>995</v>
      </c>
      <c r="K314" t="s">
        <v>1013</v>
      </c>
      <c r="L314" t="str">
        <f>_xlfn.TEXTJOIN("/",TRUE,Table2[[#This Row],[Departemen]:[Unit]])</f>
        <v>Supply Chain/Supply Chain/Warehouse/Raw Material Warehouse Team</v>
      </c>
      <c r="M314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50-06-009-042</v>
      </c>
      <c r="N314" t="s">
        <v>1014</v>
      </c>
      <c r="O314" t="str">
        <f>IFERROR(VLOOKUP(Table2[[#This Row],[Atasan]],Table2[[#All],[Hierarchy]:[Kode Posisi]],2,FALSE),"")</f>
        <v>50-06-009-008</v>
      </c>
      <c r="P314" t="s">
        <v>27</v>
      </c>
      <c r="S314" t="str">
        <f>IFERROR(VLOOKUP(Table2[[#This Row],[ID Karyawan]],[1]!Table4[[#All],[Nik]:[Placement]],37,FALSE),"")</f>
        <v/>
      </c>
      <c r="T314" t="s">
        <v>546</v>
      </c>
      <c r="U314" t="s">
        <v>1023</v>
      </c>
      <c r="V314" t="s">
        <v>1024</v>
      </c>
    </row>
    <row r="315" spans="1:22">
      <c r="A315" t="s">
        <v>1025</v>
      </c>
      <c r="B315" t="s">
        <v>1026</v>
      </c>
      <c r="C315" s="9">
        <v>33691</v>
      </c>
      <c r="D315">
        <f ca="1">IF(Table2[[#This Row],[Tgl Lahir]]="","Unknown",DATEDIF(Table2[[#This Row],[Tgl Lahir]],TODAY(),"Y"))</f>
        <v>34</v>
      </c>
      <c r="E315" s="9">
        <v>45930</v>
      </c>
      <c r="F315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 tahun 0 bulan</v>
      </c>
      <c r="G315" t="s">
        <v>101</v>
      </c>
      <c r="H315" t="s">
        <v>972</v>
      </c>
      <c r="I315" t="s">
        <v>972</v>
      </c>
      <c r="J315" t="s">
        <v>995</v>
      </c>
      <c r="K315" t="s">
        <v>1013</v>
      </c>
      <c r="L315" t="str">
        <f>_xlfn.TEXTJOIN("/",TRUE,Table2[[#This Row],[Departemen]:[Unit]])</f>
        <v>Supply Chain/Supply Chain/Warehouse/Raw Material Warehouse Team</v>
      </c>
      <c r="M315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50-06-009-042</v>
      </c>
      <c r="N315" t="s">
        <v>1014</v>
      </c>
      <c r="O315" t="str">
        <f>IFERROR(VLOOKUP(Table2[[#This Row],[Atasan]],Table2[[#All],[Hierarchy]:[Kode Posisi]],2,FALSE),"")</f>
        <v>50-06-009-008</v>
      </c>
      <c r="P315" t="s">
        <v>27</v>
      </c>
      <c r="S315" t="str">
        <f>IFERROR(VLOOKUP(Table2[[#This Row],[ID Karyawan]],[1]!Table4[[#All],[Nik]:[Placement]],37,FALSE),"")</f>
        <v/>
      </c>
      <c r="T315" t="s">
        <v>74</v>
      </c>
      <c r="U315" t="s">
        <v>24</v>
      </c>
      <c r="V315" t="s">
        <v>24</v>
      </c>
    </row>
    <row r="316" spans="1:22">
      <c r="A316" t="s">
        <v>1027</v>
      </c>
      <c r="B316" t="s">
        <v>1028</v>
      </c>
      <c r="C316" s="9">
        <v>28942</v>
      </c>
      <c r="D316">
        <f ca="1">IF(Table2[[#This Row],[Tgl Lahir]]="","Unknown",DATEDIF(Table2[[#This Row],[Tgl Lahir]],TODAY(),"Y"))</f>
        <v>47</v>
      </c>
      <c r="E316" s="9">
        <v>35270</v>
      </c>
      <c r="F316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30 tahun 2 bulan</v>
      </c>
      <c r="G316" t="s">
        <v>914</v>
      </c>
      <c r="H316" t="s">
        <v>972</v>
      </c>
      <c r="I316" t="s">
        <v>972</v>
      </c>
      <c r="J316" t="s">
        <v>995</v>
      </c>
      <c r="K316" t="s">
        <v>1013</v>
      </c>
      <c r="L316" t="str">
        <f>_xlfn.TEXTJOIN("/",TRUE,Table2[[#This Row],[Departemen]:[Unit]])</f>
        <v>Supply Chain/Supply Chain/Warehouse/Raw Material Warehouse Team</v>
      </c>
      <c r="M316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50-06-009-042</v>
      </c>
      <c r="N316" t="s">
        <v>1014</v>
      </c>
      <c r="O316" t="str">
        <f>IFERROR(VLOOKUP(Table2[[#This Row],[Atasan]],Table2[[#All],[Hierarchy]:[Kode Posisi]],2,FALSE),"")</f>
        <v>50-06-009-008</v>
      </c>
      <c r="P316" t="s">
        <v>27</v>
      </c>
      <c r="S316" t="str">
        <f>IFERROR(VLOOKUP(Table2[[#This Row],[ID Karyawan]],[1]!Table4[[#All],[Nik]:[Placement]],37,FALSE),"")</f>
        <v/>
      </c>
      <c r="T316" t="s">
        <v>181</v>
      </c>
      <c r="U316">
        <v>0</v>
      </c>
      <c r="V316">
        <v>0</v>
      </c>
    </row>
    <row r="317" spans="1:22">
      <c r="A317" t="s">
        <v>1029</v>
      </c>
      <c r="B317" t="s">
        <v>1030</v>
      </c>
      <c r="C317" s="9">
        <v>27740</v>
      </c>
      <c r="D317">
        <f ca="1">IF(Table2[[#This Row],[Tgl Lahir]]="","Unknown",DATEDIF(Table2[[#This Row],[Tgl Lahir]],TODAY(),"Y"))</f>
        <v>50</v>
      </c>
      <c r="E317" s="9">
        <v>35355</v>
      </c>
      <c r="F317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11 bulan</v>
      </c>
      <c r="G317" t="s">
        <v>914</v>
      </c>
      <c r="H317" t="s">
        <v>972</v>
      </c>
      <c r="I317" t="s">
        <v>972</v>
      </c>
      <c r="J317" t="s">
        <v>995</v>
      </c>
      <c r="K317" t="s">
        <v>1013</v>
      </c>
      <c r="L317" t="str">
        <f>_xlfn.TEXTJOIN("/",TRUE,Table2[[#This Row],[Departemen]:[Unit]])</f>
        <v>Supply Chain/Supply Chain/Warehouse/Raw Material Warehouse Team</v>
      </c>
      <c r="M317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50-06-009-042</v>
      </c>
      <c r="N317" t="s">
        <v>1014</v>
      </c>
      <c r="O317" t="str">
        <f>IFERROR(VLOOKUP(Table2[[#This Row],[Atasan]],Table2[[#All],[Hierarchy]:[Kode Posisi]],2,FALSE),"")</f>
        <v>50-06-009-008</v>
      </c>
      <c r="P317" t="s">
        <v>27</v>
      </c>
      <c r="S317" t="str">
        <f>IFERROR(VLOOKUP(Table2[[#This Row],[ID Karyawan]],[1]!Table4[[#All],[Nik]:[Placement]],37,FALSE),"")</f>
        <v/>
      </c>
      <c r="T317" t="s">
        <v>181</v>
      </c>
      <c r="U317">
        <v>0</v>
      </c>
      <c r="V317">
        <v>0</v>
      </c>
    </row>
    <row r="318" spans="1:22">
      <c r="A318" t="s">
        <v>1031</v>
      </c>
      <c r="B318" t="s">
        <v>1032</v>
      </c>
      <c r="C318" s="9">
        <v>28718</v>
      </c>
      <c r="D318">
        <f ca="1">IF(Table2[[#This Row],[Tgl Lahir]]="","Unknown",DATEDIF(Table2[[#This Row],[Tgl Lahir]],TODAY(),"Y"))</f>
        <v>48</v>
      </c>
      <c r="E318" s="9">
        <v>35765</v>
      </c>
      <c r="F318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28 tahun 10 bulan</v>
      </c>
      <c r="G318" t="s">
        <v>914</v>
      </c>
      <c r="H318" t="s">
        <v>972</v>
      </c>
      <c r="I318" t="s">
        <v>972</v>
      </c>
      <c r="J318" t="s">
        <v>995</v>
      </c>
      <c r="K318" t="s">
        <v>1013</v>
      </c>
      <c r="L318" t="str">
        <f>_xlfn.TEXTJOIN("/",TRUE,Table2[[#This Row],[Departemen]:[Unit]])</f>
        <v>Supply Chain/Supply Chain/Warehouse/Raw Material Warehouse Team</v>
      </c>
      <c r="M318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50-06-009-042</v>
      </c>
      <c r="N318" t="s">
        <v>1014</v>
      </c>
      <c r="O318" t="str">
        <f>IFERROR(VLOOKUP(Table2[[#This Row],[Atasan]],Table2[[#All],[Hierarchy]:[Kode Posisi]],2,FALSE),"")</f>
        <v>50-06-009-008</v>
      </c>
      <c r="P318" t="s">
        <v>27</v>
      </c>
      <c r="S318" t="str">
        <f>IFERROR(VLOOKUP(Table2[[#This Row],[ID Karyawan]],[1]!Table4[[#All],[Nik]:[Placement]],37,FALSE),"")</f>
        <v/>
      </c>
      <c r="T318" t="s">
        <v>181</v>
      </c>
      <c r="U318">
        <v>0</v>
      </c>
      <c r="V318">
        <v>0</v>
      </c>
    </row>
    <row r="319" spans="1:22">
      <c r="A319" t="s">
        <v>1033</v>
      </c>
      <c r="B319" t="s">
        <v>1034</v>
      </c>
      <c r="C319" s="9">
        <v>28254</v>
      </c>
      <c r="D319">
        <f ca="1">IF(Table2[[#This Row],[Tgl Lahir]]="","Unknown",DATEDIF(Table2[[#This Row],[Tgl Lahir]],TODAY(),"Y"))</f>
        <v>49</v>
      </c>
      <c r="E319" s="9">
        <v>35765</v>
      </c>
      <c r="F319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28 tahun 10 bulan</v>
      </c>
      <c r="G319" t="s">
        <v>914</v>
      </c>
      <c r="H319" t="s">
        <v>972</v>
      </c>
      <c r="I319" t="s">
        <v>972</v>
      </c>
      <c r="J319" t="s">
        <v>995</v>
      </c>
      <c r="K319" t="s">
        <v>1013</v>
      </c>
      <c r="L319" t="str">
        <f>_xlfn.TEXTJOIN("/",TRUE,Table2[[#This Row],[Departemen]:[Unit]])</f>
        <v>Supply Chain/Supply Chain/Warehouse/Raw Material Warehouse Team</v>
      </c>
      <c r="M319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50-06-009-042</v>
      </c>
      <c r="N319" t="s">
        <v>1014</v>
      </c>
      <c r="O319" t="str">
        <f>IFERROR(VLOOKUP(Table2[[#This Row],[Atasan]],Table2[[#All],[Hierarchy]:[Kode Posisi]],2,FALSE),"")</f>
        <v>50-06-009-008</v>
      </c>
      <c r="P319" t="s">
        <v>27</v>
      </c>
      <c r="S319" t="str">
        <f>IFERROR(VLOOKUP(Table2[[#This Row],[ID Karyawan]],[1]!Table4[[#All],[Nik]:[Placement]],37,FALSE),"")</f>
        <v/>
      </c>
      <c r="T319" t="s">
        <v>181</v>
      </c>
      <c r="U319">
        <v>0</v>
      </c>
      <c r="V319">
        <v>0</v>
      </c>
    </row>
    <row r="320" spans="1:22">
      <c r="A320" t="s">
        <v>1035</v>
      </c>
      <c r="B320" t="s">
        <v>1036</v>
      </c>
      <c r="C320" s="9">
        <v>27094</v>
      </c>
      <c r="D320">
        <f ca="1">IF(Table2[[#This Row],[Tgl Lahir]]="","Unknown",DATEDIF(Table2[[#This Row],[Tgl Lahir]],TODAY(),"Y"))</f>
        <v>52</v>
      </c>
      <c r="E320" s="9">
        <v>35765</v>
      </c>
      <c r="F320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28 tahun 10 bulan</v>
      </c>
      <c r="G320" t="s">
        <v>914</v>
      </c>
      <c r="H320" t="s">
        <v>972</v>
      </c>
      <c r="I320" t="s">
        <v>972</v>
      </c>
      <c r="J320" t="s">
        <v>995</v>
      </c>
      <c r="K320" t="s">
        <v>1013</v>
      </c>
      <c r="L320" t="str">
        <f>_xlfn.TEXTJOIN("/",TRUE,Table2[[#This Row],[Departemen]:[Unit]])</f>
        <v>Supply Chain/Supply Chain/Warehouse/Raw Material Warehouse Team</v>
      </c>
      <c r="M320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50-06-009-042</v>
      </c>
      <c r="N320" t="s">
        <v>1014</v>
      </c>
      <c r="O320" t="str">
        <f>IFERROR(VLOOKUP(Table2[[#This Row],[Atasan]],Table2[[#All],[Hierarchy]:[Kode Posisi]],2,FALSE),"")</f>
        <v>50-06-009-008</v>
      </c>
      <c r="P320" t="s">
        <v>27</v>
      </c>
      <c r="S320" t="str">
        <f>IFERROR(VLOOKUP(Table2[[#This Row],[ID Karyawan]],[1]!Table4[[#All],[Nik]:[Placement]],37,FALSE),"")</f>
        <v/>
      </c>
      <c r="T320" t="s">
        <v>181</v>
      </c>
      <c r="U320">
        <v>0</v>
      </c>
      <c r="V320">
        <v>0</v>
      </c>
    </row>
    <row r="321" spans="1:22">
      <c r="A321" t="s">
        <v>1037</v>
      </c>
      <c r="B321" t="s">
        <v>1038</v>
      </c>
      <c r="C321" s="9">
        <v>34901</v>
      </c>
      <c r="D321">
        <f ca="1">IF(Table2[[#This Row],[Tgl Lahir]]="","Unknown",DATEDIF(Table2[[#This Row],[Tgl Lahir]],TODAY(),"Y"))</f>
        <v>31</v>
      </c>
      <c r="E321" s="9">
        <v>45936</v>
      </c>
      <c r="F321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 tahun 0 bulan</v>
      </c>
      <c r="G321" t="s">
        <v>523</v>
      </c>
      <c r="H321" t="s">
        <v>972</v>
      </c>
      <c r="I321" t="s">
        <v>972</v>
      </c>
      <c r="J321" t="s">
        <v>995</v>
      </c>
      <c r="K321" t="s">
        <v>1039</v>
      </c>
      <c r="L321" t="str">
        <f>_xlfn.TEXTJOIN("/",TRUE,Table2[[#This Row],[Departemen]:[Unit]])</f>
        <v>Supply Chain/Supply Chain/Warehouse/Supporting Material Warehouse</v>
      </c>
      <c r="M321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50-06-009-043</v>
      </c>
      <c r="N321" t="s">
        <v>999</v>
      </c>
      <c r="O321" t="str">
        <f>IFERROR(VLOOKUP(Table2[[#This Row],[Atasan]],Table2[[#All],[Hierarchy]:[Kode Posisi]],2,FALSE),"")</f>
        <v>50-06-009-000</v>
      </c>
      <c r="P321" t="s">
        <v>27</v>
      </c>
      <c r="S321" t="str">
        <f>IFERROR(VLOOKUP(Table2[[#This Row],[ID Karyawan]],[1]!Table4[[#All],[Nik]:[Placement]],37,FALSE),"")</f>
        <v/>
      </c>
      <c r="T321" t="s">
        <v>74</v>
      </c>
      <c r="U321" t="s">
        <v>24</v>
      </c>
      <c r="V321" t="s">
        <v>24</v>
      </c>
    </row>
    <row r="322" spans="1:22">
      <c r="A322" t="s">
        <v>1040</v>
      </c>
      <c r="B322" t="s">
        <v>1041</v>
      </c>
      <c r="C322" s="9">
        <v>26071</v>
      </c>
      <c r="D322">
        <f ca="1">IF(Table2[[#This Row],[Tgl Lahir]]="","Unknown",DATEDIF(Table2[[#This Row],[Tgl Lahir]],TODAY(),"Y"))</f>
        <v>55</v>
      </c>
      <c r="E322" s="9">
        <v>35573</v>
      </c>
      <c r="F322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4 bulan</v>
      </c>
      <c r="G322" t="s">
        <v>101</v>
      </c>
      <c r="H322" t="s">
        <v>972</v>
      </c>
      <c r="I322" t="s">
        <v>972</v>
      </c>
      <c r="J322" t="s">
        <v>995</v>
      </c>
      <c r="K322" t="s">
        <v>1039</v>
      </c>
      <c r="L322" t="str">
        <f>_xlfn.TEXTJOIN("/",TRUE,Table2[[#This Row],[Departemen]:[Unit]])</f>
        <v>Supply Chain/Supply Chain/Warehouse/Supporting Material Warehouse</v>
      </c>
      <c r="M322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50-06-009-043</v>
      </c>
      <c r="N322" t="s">
        <v>999</v>
      </c>
      <c r="O322" t="str">
        <f>IFERROR(VLOOKUP(Table2[[#This Row],[Atasan]],Table2[[#All],[Hierarchy]:[Kode Posisi]],2,FALSE),"")</f>
        <v>50-06-009-000</v>
      </c>
      <c r="P322" t="s">
        <v>27</v>
      </c>
      <c r="S322" t="str">
        <f>IFERROR(VLOOKUP(Table2[[#This Row],[ID Karyawan]],[1]!Table4[[#All],[Nik]:[Placement]],37,FALSE),"")</f>
        <v/>
      </c>
      <c r="T322" t="s">
        <v>74</v>
      </c>
      <c r="U322">
        <v>0</v>
      </c>
      <c r="V322">
        <v>0</v>
      </c>
    </row>
    <row r="323" spans="1:22">
      <c r="A323" t="s">
        <v>1042</v>
      </c>
      <c r="B323" t="s">
        <v>1043</v>
      </c>
      <c r="C323" s="9">
        <v>26229</v>
      </c>
      <c r="D323">
        <f ca="1">IF(Table2[[#This Row],[Tgl Lahir]]="","Unknown",DATEDIF(Table2[[#This Row],[Tgl Lahir]],TODAY(),"Y"))</f>
        <v>54</v>
      </c>
      <c r="E323" s="9">
        <v>33854</v>
      </c>
      <c r="F323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34 tahun 1 bulan</v>
      </c>
      <c r="G323" t="s">
        <v>914</v>
      </c>
      <c r="H323" t="s">
        <v>972</v>
      </c>
      <c r="I323" t="s">
        <v>972</v>
      </c>
      <c r="J323" t="s">
        <v>995</v>
      </c>
      <c r="K323" t="s">
        <v>1039</v>
      </c>
      <c r="L323" t="str">
        <f>_xlfn.TEXTJOIN("/",TRUE,Table2[[#This Row],[Departemen]:[Unit]])</f>
        <v>Supply Chain/Supply Chain/Warehouse/Supporting Material Warehouse</v>
      </c>
      <c r="M323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50-06-009-043</v>
      </c>
      <c r="N323" t="s">
        <v>999</v>
      </c>
      <c r="O323" t="str">
        <f>IFERROR(VLOOKUP(Table2[[#This Row],[Atasan]],Table2[[#All],[Hierarchy]:[Kode Posisi]],2,FALSE),"")</f>
        <v>50-06-009-000</v>
      </c>
      <c r="P323" t="s">
        <v>27</v>
      </c>
      <c r="S323" t="str">
        <f>IFERROR(VLOOKUP(Table2[[#This Row],[ID Karyawan]],[1]!Table4[[#All],[Nik]:[Placement]],37,FALSE),"")</f>
        <v/>
      </c>
      <c r="T323" t="s">
        <v>181</v>
      </c>
      <c r="U323">
        <v>0</v>
      </c>
      <c r="V323">
        <v>0</v>
      </c>
    </row>
    <row r="324" spans="1:22">
      <c r="A324" t="s">
        <v>1044</v>
      </c>
      <c r="B324" t="s">
        <v>1045</v>
      </c>
      <c r="C324" s="9">
        <v>25676</v>
      </c>
      <c r="D324">
        <f ca="1">IF(Table2[[#This Row],[Tgl Lahir]]="","Unknown",DATEDIF(Table2[[#This Row],[Tgl Lahir]],TODAY(),"Y"))</f>
        <v>56</v>
      </c>
      <c r="E324" s="9">
        <v>35492</v>
      </c>
      <c r="F324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7 bulan</v>
      </c>
      <c r="G324" t="s">
        <v>87</v>
      </c>
      <c r="H324" t="s">
        <v>972</v>
      </c>
      <c r="I324" t="s">
        <v>972</v>
      </c>
      <c r="J324" t="s">
        <v>995</v>
      </c>
      <c r="K324" t="s">
        <v>1046</v>
      </c>
      <c r="L324" t="str">
        <f>_xlfn.TEXTJOIN("/",TRUE,Table2[[#This Row],[Departemen]:[Unit]])</f>
        <v>Supply Chain/Supply Chain/Warehouse/Forklift</v>
      </c>
      <c r="M324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50-06-009-044</v>
      </c>
      <c r="N324" t="s">
        <v>999</v>
      </c>
      <c r="O324" t="str">
        <f>IFERROR(VLOOKUP(Table2[[#This Row],[Atasan]],Table2[[#All],[Hierarchy]:[Kode Posisi]],2,FALSE),"")</f>
        <v>50-06-009-000</v>
      </c>
      <c r="P324" t="s">
        <v>27</v>
      </c>
      <c r="S324" t="str">
        <f>IFERROR(VLOOKUP(Table2[[#This Row],[ID Karyawan]],[1]!Table4[[#All],[Nik]:[Placement]],37,FALSE),"")</f>
        <v/>
      </c>
      <c r="T324" t="s">
        <v>74</v>
      </c>
      <c r="U324">
        <v>0</v>
      </c>
      <c r="V324">
        <v>0</v>
      </c>
    </row>
    <row r="325" spans="1:22">
      <c r="A325" t="s">
        <v>1047</v>
      </c>
      <c r="B325" t="s">
        <v>1048</v>
      </c>
      <c r="C325" s="9">
        <v>27276</v>
      </c>
      <c r="D325">
        <f ca="1">IF(Table2[[#This Row],[Tgl Lahir]]="","Unknown",DATEDIF(Table2[[#This Row],[Tgl Lahir]],TODAY(),"Y"))</f>
        <v>52</v>
      </c>
      <c r="E325" s="9">
        <v>35559</v>
      </c>
      <c r="F325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5 bulan</v>
      </c>
      <c r="G325" t="s">
        <v>87</v>
      </c>
      <c r="H325" t="s">
        <v>972</v>
      </c>
      <c r="I325" t="s">
        <v>972</v>
      </c>
      <c r="J325" t="s">
        <v>995</v>
      </c>
      <c r="K325" t="s">
        <v>1046</v>
      </c>
      <c r="L325" t="str">
        <f>_xlfn.TEXTJOIN("/",TRUE,Table2[[#This Row],[Departemen]:[Unit]])</f>
        <v>Supply Chain/Supply Chain/Warehouse/Forklift</v>
      </c>
      <c r="M325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50-06-009-044</v>
      </c>
      <c r="N325" t="s">
        <v>999</v>
      </c>
      <c r="O325" t="str">
        <f>IFERROR(VLOOKUP(Table2[[#This Row],[Atasan]],Table2[[#All],[Hierarchy]:[Kode Posisi]],2,FALSE),"")</f>
        <v>50-06-009-000</v>
      </c>
      <c r="P325" t="s">
        <v>27</v>
      </c>
      <c r="S325" t="str">
        <f>IFERROR(VLOOKUP(Table2[[#This Row],[ID Karyawan]],[1]!Table4[[#All],[Nik]:[Placement]],37,FALSE),"")</f>
        <v/>
      </c>
      <c r="T325" t="s">
        <v>74</v>
      </c>
      <c r="U325">
        <v>0</v>
      </c>
      <c r="V325">
        <v>0</v>
      </c>
    </row>
    <row r="326" spans="1:22">
      <c r="A326" t="s">
        <v>1049</v>
      </c>
      <c r="B326" t="s">
        <v>1050</v>
      </c>
      <c r="C326" s="9">
        <v>26786</v>
      </c>
      <c r="D326">
        <f ca="1">IF(Table2[[#This Row],[Tgl Lahir]]="","Unknown",DATEDIF(Table2[[#This Row],[Tgl Lahir]],TODAY(),"Y"))</f>
        <v>53</v>
      </c>
      <c r="E326" s="9">
        <v>35717</v>
      </c>
      <c r="F326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28 tahun 11 bulan</v>
      </c>
      <c r="G326" t="s">
        <v>87</v>
      </c>
      <c r="H326" t="s">
        <v>972</v>
      </c>
      <c r="I326" t="s">
        <v>972</v>
      </c>
      <c r="J326" t="s">
        <v>995</v>
      </c>
      <c r="K326" t="s">
        <v>1046</v>
      </c>
      <c r="L326" t="str">
        <f>_xlfn.TEXTJOIN("/",TRUE,Table2[[#This Row],[Departemen]:[Unit]])</f>
        <v>Supply Chain/Supply Chain/Warehouse/Forklift</v>
      </c>
      <c r="M326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50-06-009-044</v>
      </c>
      <c r="N326" t="s">
        <v>999</v>
      </c>
      <c r="O326" t="str">
        <f>IFERROR(VLOOKUP(Table2[[#This Row],[Atasan]],Table2[[#All],[Hierarchy]:[Kode Posisi]],2,FALSE),"")</f>
        <v>50-06-009-000</v>
      </c>
      <c r="P326" t="s">
        <v>27</v>
      </c>
      <c r="S326" t="str">
        <f>IFERROR(VLOOKUP(Table2[[#This Row],[ID Karyawan]],[1]!Table4[[#All],[Nik]:[Placement]],37,FALSE),"")</f>
        <v/>
      </c>
      <c r="T326" t="s">
        <v>74</v>
      </c>
      <c r="U326">
        <v>0</v>
      </c>
      <c r="V326">
        <v>0</v>
      </c>
    </row>
    <row r="327" spans="1:22">
      <c r="A327" t="s">
        <v>1051</v>
      </c>
      <c r="B327" t="s">
        <v>1052</v>
      </c>
      <c r="C327" s="9">
        <v>28050</v>
      </c>
      <c r="D327">
        <f ca="1">IF(Table2[[#This Row],[Tgl Lahir]]="","Unknown",DATEDIF(Table2[[#This Row],[Tgl Lahir]],TODAY(),"Y"))</f>
        <v>49</v>
      </c>
      <c r="E327" s="9">
        <v>35542</v>
      </c>
      <c r="F327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5 bulan</v>
      </c>
      <c r="G327" t="s">
        <v>87</v>
      </c>
      <c r="H327" t="s">
        <v>972</v>
      </c>
      <c r="I327" t="s">
        <v>972</v>
      </c>
      <c r="J327" t="s">
        <v>995</v>
      </c>
      <c r="K327" t="s">
        <v>1046</v>
      </c>
      <c r="L327" t="str">
        <f>_xlfn.TEXTJOIN("/",TRUE,Table2[[#This Row],[Departemen]:[Unit]])</f>
        <v>Supply Chain/Supply Chain/Warehouse/Forklift</v>
      </c>
      <c r="M327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50-06-009-044</v>
      </c>
      <c r="N327" t="s">
        <v>999</v>
      </c>
      <c r="O327" t="str">
        <f>IFERROR(VLOOKUP(Table2[[#This Row],[Atasan]],Table2[[#All],[Hierarchy]:[Kode Posisi]],2,FALSE),"")</f>
        <v>50-06-009-000</v>
      </c>
      <c r="P327" t="s">
        <v>27</v>
      </c>
      <c r="S327" t="str">
        <f>IFERROR(VLOOKUP(Table2[[#This Row],[ID Karyawan]],[1]!Table4[[#All],[Nik]:[Placement]],37,FALSE),"")</f>
        <v/>
      </c>
      <c r="T327" t="s">
        <v>181</v>
      </c>
      <c r="U327" t="s">
        <v>1053</v>
      </c>
      <c r="V327">
        <v>0</v>
      </c>
    </row>
    <row r="328" spans="1:22">
      <c r="A328" t="s">
        <v>1054</v>
      </c>
      <c r="B328" t="s">
        <v>1055</v>
      </c>
      <c r="C328" s="9">
        <v>26467</v>
      </c>
      <c r="D328">
        <f ca="1">IF(Table2[[#This Row],[Tgl Lahir]]="","Unknown",DATEDIF(Table2[[#This Row],[Tgl Lahir]],TODAY(),"Y"))</f>
        <v>54</v>
      </c>
      <c r="E328" s="9">
        <v>35545</v>
      </c>
      <c r="F328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5 bulan</v>
      </c>
      <c r="G328" t="s">
        <v>87</v>
      </c>
      <c r="H328" t="s">
        <v>972</v>
      </c>
      <c r="I328" t="s">
        <v>972</v>
      </c>
      <c r="J328" t="s">
        <v>995</v>
      </c>
      <c r="K328" t="s">
        <v>1046</v>
      </c>
      <c r="L328" t="str">
        <f>_xlfn.TEXTJOIN("/",TRUE,Table2[[#This Row],[Departemen]:[Unit]])</f>
        <v>Supply Chain/Supply Chain/Warehouse/Forklift</v>
      </c>
      <c r="M328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50-06-009-044</v>
      </c>
      <c r="N328" t="s">
        <v>999</v>
      </c>
      <c r="O328" t="str">
        <f>IFERROR(VLOOKUP(Table2[[#This Row],[Atasan]],Table2[[#All],[Hierarchy]:[Kode Posisi]],2,FALSE),"")</f>
        <v>50-06-009-000</v>
      </c>
      <c r="P328" t="s">
        <v>27</v>
      </c>
      <c r="S328" t="str">
        <f>IFERROR(VLOOKUP(Table2[[#This Row],[ID Karyawan]],[1]!Table4[[#All],[Nik]:[Placement]],37,FALSE),"")</f>
        <v/>
      </c>
      <c r="T328" t="s">
        <v>915</v>
      </c>
      <c r="U328">
        <v>0</v>
      </c>
      <c r="V328">
        <v>0</v>
      </c>
    </row>
    <row r="329" spans="1:22">
      <c r="A329" t="s">
        <v>1056</v>
      </c>
      <c r="B329" t="s">
        <v>1057</v>
      </c>
      <c r="C329" s="9">
        <v>27548</v>
      </c>
      <c r="D329">
        <f ca="1">IF(Table2[[#This Row],[Tgl Lahir]]="","Unknown",DATEDIF(Table2[[#This Row],[Tgl Lahir]],TODAY(),"Y"))</f>
        <v>51</v>
      </c>
      <c r="E329" s="9">
        <v>35425</v>
      </c>
      <c r="F329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9 bulan</v>
      </c>
      <c r="G329" t="s">
        <v>914</v>
      </c>
      <c r="H329" t="s">
        <v>972</v>
      </c>
      <c r="I329" t="s">
        <v>972</v>
      </c>
      <c r="J329" t="s">
        <v>995</v>
      </c>
      <c r="K329" t="s">
        <v>1058</v>
      </c>
      <c r="L329" t="str">
        <f>_xlfn.TEXTJOIN("/",TRUE,Table2[[#This Row],[Departemen]:[Unit]])</f>
        <v>Supply Chain/Supply Chain/Warehouse/Finished Goods Warehouse Team</v>
      </c>
      <c r="M329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50-06-009-045</v>
      </c>
      <c r="N329" t="s">
        <v>1059</v>
      </c>
      <c r="O329" t="str">
        <f>IFERROR(VLOOKUP(Table2[[#This Row],[Atasan]],Table2[[#All],[Hierarchy]:[Kode Posisi]],2,FALSE),"")</f>
        <v>50-06-009-010</v>
      </c>
      <c r="P329" t="s">
        <v>27</v>
      </c>
      <c r="S329" t="str">
        <f>IFERROR(VLOOKUP(Table2[[#This Row],[ID Karyawan]],[1]!Table4[[#All],[Nik]:[Placement]],37,FALSE),"")</f>
        <v/>
      </c>
      <c r="T329" t="s">
        <v>74</v>
      </c>
      <c r="U329">
        <v>0</v>
      </c>
      <c r="V329">
        <v>0</v>
      </c>
    </row>
    <row r="330" spans="1:22">
      <c r="A330" t="s">
        <v>1060</v>
      </c>
      <c r="B330" t="s">
        <v>1061</v>
      </c>
      <c r="C330" s="9">
        <v>34835</v>
      </c>
      <c r="D330">
        <f ca="1">IF(Table2[[#This Row],[Tgl Lahir]]="","Unknown",DATEDIF(Table2[[#This Row],[Tgl Lahir]],TODAY(),"Y"))</f>
        <v>31</v>
      </c>
      <c r="E330" s="9">
        <v>44013</v>
      </c>
      <c r="F330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6 tahun 3 bulan</v>
      </c>
      <c r="G330" t="s">
        <v>523</v>
      </c>
      <c r="H330" t="s">
        <v>972</v>
      </c>
      <c r="I330" t="s">
        <v>972</v>
      </c>
      <c r="J330" t="s">
        <v>995</v>
      </c>
      <c r="K330" t="s">
        <v>1058</v>
      </c>
      <c r="L330" t="str">
        <f>_xlfn.TEXTJOIN("/",TRUE,Table2[[#This Row],[Departemen]:[Unit]])</f>
        <v>Supply Chain/Supply Chain/Warehouse/Finished Goods Warehouse Team</v>
      </c>
      <c r="M330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50-06-009-045</v>
      </c>
      <c r="N330" t="s">
        <v>1059</v>
      </c>
      <c r="O330" t="str">
        <f>IFERROR(VLOOKUP(Table2[[#This Row],[Atasan]],Table2[[#All],[Hierarchy]:[Kode Posisi]],2,FALSE),"")</f>
        <v>50-06-009-010</v>
      </c>
      <c r="P330" t="s">
        <v>27</v>
      </c>
      <c r="S330" t="str">
        <f>IFERROR(VLOOKUP(Table2[[#This Row],[ID Karyawan]],[1]!Table4[[#All],[Nik]:[Placement]],37,FALSE),"")</f>
        <v/>
      </c>
      <c r="T330" t="s">
        <v>41</v>
      </c>
      <c r="U330" t="s">
        <v>1062</v>
      </c>
      <c r="V330" t="s">
        <v>1063</v>
      </c>
    </row>
    <row r="331" spans="1:22">
      <c r="A331" t="s">
        <v>1064</v>
      </c>
      <c r="B331" t="s">
        <v>1065</v>
      </c>
      <c r="C331" s="9">
        <v>35426</v>
      </c>
      <c r="D331">
        <f ca="1">IF(Table2[[#This Row],[Tgl Lahir]]="","Unknown",DATEDIF(Table2[[#This Row],[Tgl Lahir]],TODAY(),"Y"))</f>
        <v>29</v>
      </c>
      <c r="E331" s="9">
        <v>45556</v>
      </c>
      <c r="F331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 tahun 0 bulan</v>
      </c>
      <c r="G331" t="s">
        <v>101</v>
      </c>
      <c r="H331" t="s">
        <v>972</v>
      </c>
      <c r="I331" t="s">
        <v>972</v>
      </c>
      <c r="J331" t="s">
        <v>995</v>
      </c>
      <c r="K331" t="s">
        <v>1058</v>
      </c>
      <c r="L331" t="str">
        <f>_xlfn.TEXTJOIN("/",TRUE,Table2[[#This Row],[Departemen]:[Unit]])</f>
        <v>Supply Chain/Supply Chain/Warehouse/Finished Goods Warehouse Team</v>
      </c>
      <c r="M331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50-06-009-045</v>
      </c>
      <c r="N331" t="s">
        <v>1059</v>
      </c>
      <c r="O331" t="str">
        <f>IFERROR(VLOOKUP(Table2[[#This Row],[Atasan]],Table2[[#All],[Hierarchy]:[Kode Posisi]],2,FALSE),"")</f>
        <v>50-06-009-010</v>
      </c>
      <c r="P331" t="s">
        <v>27</v>
      </c>
      <c r="S331" t="str">
        <f>IFERROR(VLOOKUP(Table2[[#This Row],[ID Karyawan]],[1]!Table4[[#All],[Nik]:[Placement]],37,FALSE),"")</f>
        <v/>
      </c>
      <c r="T331" t="s">
        <v>74</v>
      </c>
      <c r="U331" t="s">
        <v>24</v>
      </c>
      <c r="V331" t="s">
        <v>24</v>
      </c>
    </row>
    <row r="332" spans="1:22">
      <c r="A332" t="s">
        <v>1066</v>
      </c>
      <c r="B332" t="s">
        <v>1067</v>
      </c>
      <c r="C332" s="9">
        <v>28650</v>
      </c>
      <c r="D332">
        <f ca="1">IF(Table2[[#This Row],[Tgl Lahir]]="","Unknown",DATEDIF(Table2[[#This Row],[Tgl Lahir]],TODAY(),"Y"))</f>
        <v>48</v>
      </c>
      <c r="E332" s="9">
        <v>35146</v>
      </c>
      <c r="F332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30 tahun 6 bulan</v>
      </c>
      <c r="G332" t="s">
        <v>914</v>
      </c>
      <c r="H332" t="s">
        <v>972</v>
      </c>
      <c r="I332" t="s">
        <v>972</v>
      </c>
      <c r="J332" t="s">
        <v>995</v>
      </c>
      <c r="K332" t="s">
        <v>1058</v>
      </c>
      <c r="L332" t="str">
        <f>_xlfn.TEXTJOIN("/",TRUE,Table2[[#This Row],[Departemen]:[Unit]])</f>
        <v>Supply Chain/Supply Chain/Warehouse/Finished Goods Warehouse Team</v>
      </c>
      <c r="M332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50-06-009-045</v>
      </c>
      <c r="N332" t="s">
        <v>1059</v>
      </c>
      <c r="O332" t="str">
        <f>IFERROR(VLOOKUP(Table2[[#This Row],[Atasan]],Table2[[#All],[Hierarchy]:[Kode Posisi]],2,FALSE),"")</f>
        <v>50-06-009-010</v>
      </c>
      <c r="P332" t="s">
        <v>27</v>
      </c>
      <c r="S332" t="str">
        <f>IFERROR(VLOOKUP(Table2[[#This Row],[ID Karyawan]],[1]!Table4[[#All],[Nik]:[Placement]],37,FALSE),"")</f>
        <v/>
      </c>
      <c r="T332" t="s">
        <v>181</v>
      </c>
      <c r="U332">
        <v>0</v>
      </c>
      <c r="V332">
        <v>0</v>
      </c>
    </row>
    <row r="333" spans="1:22">
      <c r="A333" t="s">
        <v>1068</v>
      </c>
      <c r="B333" t="s">
        <v>1069</v>
      </c>
      <c r="C333" s="9">
        <v>28616</v>
      </c>
      <c r="D333">
        <f ca="1">IF(Table2[[#This Row],[Tgl Lahir]]="","Unknown",DATEDIF(Table2[[#This Row],[Tgl Lahir]],TODAY(),"Y"))</f>
        <v>48</v>
      </c>
      <c r="E333" s="9">
        <v>35355</v>
      </c>
      <c r="F333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11 bulan</v>
      </c>
      <c r="G333" t="s">
        <v>914</v>
      </c>
      <c r="H333" t="s">
        <v>972</v>
      </c>
      <c r="I333" t="s">
        <v>972</v>
      </c>
      <c r="J333" t="s">
        <v>995</v>
      </c>
      <c r="K333" t="s">
        <v>1058</v>
      </c>
      <c r="L333" t="str">
        <f>_xlfn.TEXTJOIN("/",TRUE,Table2[[#This Row],[Departemen]:[Unit]])</f>
        <v>Supply Chain/Supply Chain/Warehouse/Finished Goods Warehouse Team</v>
      </c>
      <c r="M333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50-06-009-045</v>
      </c>
      <c r="N333" t="s">
        <v>1059</v>
      </c>
      <c r="O333" t="str">
        <f>IFERROR(VLOOKUP(Table2[[#This Row],[Atasan]],Table2[[#All],[Hierarchy]:[Kode Posisi]],2,FALSE),"")</f>
        <v>50-06-009-010</v>
      </c>
      <c r="P333" t="s">
        <v>27</v>
      </c>
      <c r="S333" t="str">
        <f>IFERROR(VLOOKUP(Table2[[#This Row],[ID Karyawan]],[1]!Table4[[#All],[Nik]:[Placement]],37,FALSE),"")</f>
        <v/>
      </c>
      <c r="T333" t="s">
        <v>181</v>
      </c>
      <c r="U333">
        <v>0</v>
      </c>
      <c r="V333">
        <v>0</v>
      </c>
    </row>
    <row r="334" spans="1:22">
      <c r="A334" t="s">
        <v>1070</v>
      </c>
      <c r="B334" t="s">
        <v>1071</v>
      </c>
      <c r="C334" s="9">
        <v>26067</v>
      </c>
      <c r="D334">
        <f ca="1">IF(Table2[[#This Row],[Tgl Lahir]]="","Unknown",DATEDIF(Table2[[#This Row],[Tgl Lahir]],TODAY(),"Y"))</f>
        <v>55</v>
      </c>
      <c r="E334" s="9">
        <v>35486</v>
      </c>
      <c r="F334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7 bulan</v>
      </c>
      <c r="G334" t="s">
        <v>914</v>
      </c>
      <c r="H334" t="s">
        <v>972</v>
      </c>
      <c r="I334" t="s">
        <v>972</v>
      </c>
      <c r="J334" t="s">
        <v>995</v>
      </c>
      <c r="K334" t="s">
        <v>1058</v>
      </c>
      <c r="L334" t="str">
        <f>_xlfn.TEXTJOIN("/",TRUE,Table2[[#This Row],[Departemen]:[Unit]])</f>
        <v>Supply Chain/Supply Chain/Warehouse/Finished Goods Warehouse Team</v>
      </c>
      <c r="M334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50-06-009-045</v>
      </c>
      <c r="N334" t="s">
        <v>1059</v>
      </c>
      <c r="O334" t="str">
        <f>IFERROR(VLOOKUP(Table2[[#This Row],[Atasan]],Table2[[#All],[Hierarchy]:[Kode Posisi]],2,FALSE),"")</f>
        <v>50-06-009-010</v>
      </c>
      <c r="P334" t="s">
        <v>27</v>
      </c>
      <c r="S334" t="str">
        <f>IFERROR(VLOOKUP(Table2[[#This Row],[ID Karyawan]],[1]!Table4[[#All],[Nik]:[Placement]],37,FALSE),"")</f>
        <v/>
      </c>
      <c r="T334" t="s">
        <v>74</v>
      </c>
      <c r="U334">
        <v>0</v>
      </c>
      <c r="V334">
        <v>0</v>
      </c>
    </row>
    <row r="335" spans="1:22">
      <c r="A335" t="s">
        <v>1072</v>
      </c>
      <c r="B335" t="s">
        <v>1073</v>
      </c>
      <c r="C335" s="9">
        <v>27860</v>
      </c>
      <c r="D335">
        <f ca="1">IF(Table2[[#This Row],[Tgl Lahir]]="","Unknown",DATEDIF(Table2[[#This Row],[Tgl Lahir]],TODAY(),"Y"))</f>
        <v>50</v>
      </c>
      <c r="E335" s="9">
        <v>35555</v>
      </c>
      <c r="F335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5 bulan</v>
      </c>
      <c r="G335" t="s">
        <v>914</v>
      </c>
      <c r="H335" t="s">
        <v>972</v>
      </c>
      <c r="I335" t="s">
        <v>972</v>
      </c>
      <c r="J335" t="s">
        <v>995</v>
      </c>
      <c r="K335" t="s">
        <v>1058</v>
      </c>
      <c r="L335" t="str">
        <f>_xlfn.TEXTJOIN("/",TRUE,Table2[[#This Row],[Departemen]:[Unit]])</f>
        <v>Supply Chain/Supply Chain/Warehouse/Finished Goods Warehouse Team</v>
      </c>
      <c r="M335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50-06-009-045</v>
      </c>
      <c r="N335" t="s">
        <v>1059</v>
      </c>
      <c r="O335" t="str">
        <f>IFERROR(VLOOKUP(Table2[[#This Row],[Atasan]],Table2[[#All],[Hierarchy]:[Kode Posisi]],2,FALSE),"")</f>
        <v>50-06-009-010</v>
      </c>
      <c r="P335" t="s">
        <v>27</v>
      </c>
      <c r="S335" t="str">
        <f>IFERROR(VLOOKUP(Table2[[#This Row],[ID Karyawan]],[1]!Table4[[#All],[Nik]:[Placement]],37,FALSE),"")</f>
        <v/>
      </c>
      <c r="T335" t="s">
        <v>74</v>
      </c>
      <c r="U335" t="s">
        <v>184</v>
      </c>
      <c r="V335" t="s">
        <v>1074</v>
      </c>
    </row>
    <row r="336" spans="1:22">
      <c r="A336" t="s">
        <v>1075</v>
      </c>
      <c r="B336" t="s">
        <v>1076</v>
      </c>
      <c r="C336" s="9">
        <v>28027</v>
      </c>
      <c r="D336">
        <f ca="1">IF(Table2[[#This Row],[Tgl Lahir]]="","Unknown",DATEDIF(Table2[[#This Row],[Tgl Lahir]],TODAY(),"Y"))</f>
        <v>50</v>
      </c>
      <c r="E336" s="9">
        <v>35573</v>
      </c>
      <c r="F336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4 bulan</v>
      </c>
      <c r="G336" t="s">
        <v>914</v>
      </c>
      <c r="H336" t="s">
        <v>972</v>
      </c>
      <c r="I336" t="s">
        <v>972</v>
      </c>
      <c r="J336" t="s">
        <v>995</v>
      </c>
      <c r="K336" t="s">
        <v>1058</v>
      </c>
      <c r="L336" t="str">
        <f>_xlfn.TEXTJOIN("/",TRUE,Table2[[#This Row],[Departemen]:[Unit]])</f>
        <v>Supply Chain/Supply Chain/Warehouse/Finished Goods Warehouse Team</v>
      </c>
      <c r="M336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50-06-009-045</v>
      </c>
      <c r="N336" t="s">
        <v>1059</v>
      </c>
      <c r="O336" t="str">
        <f>IFERROR(VLOOKUP(Table2[[#This Row],[Atasan]],Table2[[#All],[Hierarchy]:[Kode Posisi]],2,FALSE),"")</f>
        <v>50-06-009-010</v>
      </c>
      <c r="P336" t="s">
        <v>27</v>
      </c>
      <c r="S336" t="str">
        <f>IFERROR(VLOOKUP(Table2[[#This Row],[ID Karyawan]],[1]!Table4[[#All],[Nik]:[Placement]],37,FALSE),"")</f>
        <v/>
      </c>
      <c r="T336" t="s">
        <v>74</v>
      </c>
      <c r="U336" t="s">
        <v>1077</v>
      </c>
      <c r="V336" t="s">
        <v>1078</v>
      </c>
    </row>
    <row r="337" spans="1:22">
      <c r="A337" t="s">
        <v>1079</v>
      </c>
      <c r="B337" t="s">
        <v>1080</v>
      </c>
      <c r="C337" s="9">
        <v>25569</v>
      </c>
      <c r="D337">
        <f ca="1">IF(Table2[[#This Row],[Tgl Lahir]]="","Unknown",DATEDIF(Table2[[#This Row],[Tgl Lahir]],TODAY(),"Y"))</f>
        <v>56</v>
      </c>
      <c r="E337" s="9">
        <v>35758</v>
      </c>
      <c r="F337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28 tahun 10 bulan</v>
      </c>
      <c r="G337" t="s">
        <v>914</v>
      </c>
      <c r="H337" t="s">
        <v>972</v>
      </c>
      <c r="I337" t="s">
        <v>972</v>
      </c>
      <c r="J337" t="s">
        <v>995</v>
      </c>
      <c r="K337" t="s">
        <v>1058</v>
      </c>
      <c r="L337" t="str">
        <f>_xlfn.TEXTJOIN("/",TRUE,Table2[[#This Row],[Departemen]:[Unit]])</f>
        <v>Supply Chain/Supply Chain/Warehouse/Finished Goods Warehouse Team</v>
      </c>
      <c r="M337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50-06-009-045</v>
      </c>
      <c r="N337" t="s">
        <v>1059</v>
      </c>
      <c r="O337" t="str">
        <f>IFERROR(VLOOKUP(Table2[[#This Row],[Atasan]],Table2[[#All],[Hierarchy]:[Kode Posisi]],2,FALSE),"")</f>
        <v>50-06-009-010</v>
      </c>
      <c r="P337" t="s">
        <v>27</v>
      </c>
      <c r="S337" t="str">
        <f>IFERROR(VLOOKUP(Table2[[#This Row],[ID Karyawan]],[1]!Table4[[#All],[Nik]:[Placement]],37,FALSE),"")</f>
        <v/>
      </c>
      <c r="T337" t="s">
        <v>915</v>
      </c>
      <c r="U337">
        <v>0</v>
      </c>
      <c r="V337">
        <v>0</v>
      </c>
    </row>
    <row r="338" spans="1:22">
      <c r="A338" t="s">
        <v>1081</v>
      </c>
      <c r="B338" t="s">
        <v>1082</v>
      </c>
      <c r="C338" s="9">
        <v>26945</v>
      </c>
      <c r="D338">
        <f ca="1">IF(Table2[[#This Row],[Tgl Lahir]]="","Unknown",DATEDIF(Table2[[#This Row],[Tgl Lahir]],TODAY(),"Y"))</f>
        <v>53</v>
      </c>
      <c r="E338" s="9">
        <v>35772</v>
      </c>
      <c r="F338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28 tahun 10 bulan</v>
      </c>
      <c r="G338" t="s">
        <v>914</v>
      </c>
      <c r="H338" t="s">
        <v>972</v>
      </c>
      <c r="I338" t="s">
        <v>972</v>
      </c>
      <c r="J338" t="s">
        <v>995</v>
      </c>
      <c r="K338" t="s">
        <v>1058</v>
      </c>
      <c r="L338" t="str">
        <f>_xlfn.TEXTJOIN("/",TRUE,Table2[[#This Row],[Departemen]:[Unit]])</f>
        <v>Supply Chain/Supply Chain/Warehouse/Finished Goods Warehouse Team</v>
      </c>
      <c r="M338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50-06-009-045</v>
      </c>
      <c r="N338" t="s">
        <v>1059</v>
      </c>
      <c r="O338" t="str">
        <f>IFERROR(VLOOKUP(Table2[[#This Row],[Atasan]],Table2[[#All],[Hierarchy]:[Kode Posisi]],2,FALSE),"")</f>
        <v>50-06-009-010</v>
      </c>
      <c r="P338" t="s">
        <v>27</v>
      </c>
      <c r="S338" t="str">
        <f>IFERROR(VLOOKUP(Table2[[#This Row],[ID Karyawan]],[1]!Table4[[#All],[Nik]:[Placement]],37,FALSE),"")</f>
        <v/>
      </c>
      <c r="T338" t="s">
        <v>181</v>
      </c>
      <c r="U338">
        <v>0</v>
      </c>
      <c r="V338">
        <v>0</v>
      </c>
    </row>
    <row r="339" spans="1:22">
      <c r="A339" t="s">
        <v>1083</v>
      </c>
      <c r="B339" t="s">
        <v>1084</v>
      </c>
      <c r="C339" s="9">
        <v>33636</v>
      </c>
      <c r="D339">
        <f ca="1">IF(Table2[[#This Row],[Tgl Lahir]]="","Unknown",DATEDIF(Table2[[#This Row],[Tgl Lahir]],TODAY(),"Y"))</f>
        <v>34</v>
      </c>
      <c r="E339" s="9">
        <v>43710</v>
      </c>
      <c r="F339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7 tahun 1 bulan</v>
      </c>
      <c r="G339" t="s">
        <v>523</v>
      </c>
      <c r="H339" t="s">
        <v>972</v>
      </c>
      <c r="I339" t="s">
        <v>972</v>
      </c>
      <c r="J339" t="s">
        <v>995</v>
      </c>
      <c r="K339" t="s">
        <v>1085</v>
      </c>
      <c r="L339" t="str">
        <f>_xlfn.TEXTJOIN("/",TRUE,Table2[[#This Row],[Departemen]:[Unit]])</f>
        <v>Supply Chain/Supply Chain/Warehouse/Parts &amp; Technical Warehouse Team</v>
      </c>
      <c r="M339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50-06-009-046</v>
      </c>
      <c r="N339" t="s">
        <v>1086</v>
      </c>
      <c r="O339" t="str">
        <f>IFERROR(VLOOKUP(Table2[[#This Row],[Atasan]],Table2[[#All],[Hierarchy]:[Kode Posisi]],2,FALSE),"")</f>
        <v>50-06-009-009</v>
      </c>
      <c r="P339" t="s">
        <v>27</v>
      </c>
      <c r="S339" t="str">
        <f>IFERROR(VLOOKUP(Table2[[#This Row],[ID Karyawan]],[1]!Table4[[#All],[Nik]:[Placement]],37,FALSE),"")</f>
        <v/>
      </c>
      <c r="T339" t="s">
        <v>74</v>
      </c>
      <c r="U339">
        <v>0</v>
      </c>
      <c r="V339">
        <v>0</v>
      </c>
    </row>
    <row r="340" spans="1:22">
      <c r="A340" t="s">
        <v>1087</v>
      </c>
      <c r="B340" t="s">
        <v>1088</v>
      </c>
      <c r="C340" s="9">
        <v>25894</v>
      </c>
      <c r="D340">
        <f ca="1">IF(Table2[[#This Row],[Tgl Lahir]]="","Unknown",DATEDIF(Table2[[#This Row],[Tgl Lahir]],TODAY(),"Y"))</f>
        <v>55</v>
      </c>
      <c r="E340" s="9">
        <v>35613</v>
      </c>
      <c r="F340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3 bulan</v>
      </c>
      <c r="G340" t="s">
        <v>914</v>
      </c>
      <c r="H340" t="s">
        <v>972</v>
      </c>
      <c r="I340" t="s">
        <v>972</v>
      </c>
      <c r="J340" t="s">
        <v>995</v>
      </c>
      <c r="K340" t="s">
        <v>1085</v>
      </c>
      <c r="L340" t="str">
        <f>_xlfn.TEXTJOIN("/",TRUE,Table2[[#This Row],[Departemen]:[Unit]])</f>
        <v>Supply Chain/Supply Chain/Warehouse/Parts &amp; Technical Warehouse Team</v>
      </c>
      <c r="M340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50-06-009-046</v>
      </c>
      <c r="N340" t="s">
        <v>1086</v>
      </c>
      <c r="O340" t="str">
        <f>IFERROR(VLOOKUP(Table2[[#This Row],[Atasan]],Table2[[#All],[Hierarchy]:[Kode Posisi]],2,FALSE),"")</f>
        <v>50-06-009-009</v>
      </c>
      <c r="P340" t="s">
        <v>27</v>
      </c>
      <c r="S340" t="str">
        <f>IFERROR(VLOOKUP(Table2[[#This Row],[ID Karyawan]],[1]!Table4[[#All],[Nik]:[Placement]],37,FALSE),"")</f>
        <v/>
      </c>
      <c r="T340" t="s">
        <v>915</v>
      </c>
      <c r="U340">
        <v>0</v>
      </c>
      <c r="V340">
        <v>0</v>
      </c>
    </row>
    <row r="341" spans="1:22">
      <c r="A341" t="s">
        <v>1089</v>
      </c>
      <c r="B341" t="s">
        <v>1090</v>
      </c>
      <c r="C341" s="9">
        <v>31870</v>
      </c>
      <c r="D341">
        <f ca="1">IF(Table2[[#This Row],[Tgl Lahir]]="","Unknown",DATEDIF(Table2[[#This Row],[Tgl Lahir]],TODAY(),"Y"))</f>
        <v>39</v>
      </c>
      <c r="E341" s="9">
        <v>41276</v>
      </c>
      <c r="F341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13 tahun 9 bulan</v>
      </c>
      <c r="G341" t="s">
        <v>914</v>
      </c>
      <c r="H341" t="s">
        <v>972</v>
      </c>
      <c r="I341" t="s">
        <v>972</v>
      </c>
      <c r="J341" t="s">
        <v>995</v>
      </c>
      <c r="K341" t="s">
        <v>1085</v>
      </c>
      <c r="L341" t="str">
        <f>_xlfn.TEXTJOIN("/",TRUE,Table2[[#This Row],[Departemen]:[Unit]])</f>
        <v>Supply Chain/Supply Chain/Warehouse/Parts &amp; Technical Warehouse Team</v>
      </c>
      <c r="M341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50-06-009-046</v>
      </c>
      <c r="N341" t="s">
        <v>1086</v>
      </c>
      <c r="O341" t="str">
        <f>IFERROR(VLOOKUP(Table2[[#This Row],[Atasan]],Table2[[#All],[Hierarchy]:[Kode Posisi]],2,FALSE),"")</f>
        <v>50-06-009-009</v>
      </c>
      <c r="P341" t="s">
        <v>27</v>
      </c>
      <c r="S341" t="str">
        <f>IFERROR(VLOOKUP(Table2[[#This Row],[ID Karyawan]],[1]!Table4[[#All],[Nik]:[Placement]],37,FALSE),"")</f>
        <v/>
      </c>
      <c r="T341" t="s">
        <v>74</v>
      </c>
      <c r="U341" t="s">
        <v>607</v>
      </c>
      <c r="V341">
        <v>0</v>
      </c>
    </row>
    <row r="342" spans="1:22">
      <c r="A342"/>
      <c r="C342" s="9" t="s">
        <v>24</v>
      </c>
      <c r="D342" t="str">
        <f ca="1">IF(Table2[[#This Row],[Tgl Lahir]]="","Unknown",DATEDIF(Table2[[#This Row],[Tgl Lahir]],TODAY(),"Y"))</f>
        <v>Unknown</v>
      </c>
      <c r="E342" s="9" t="s">
        <v>24</v>
      </c>
      <c r="F342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/>
      </c>
      <c r="G342" t="s">
        <v>71</v>
      </c>
      <c r="H342" t="s">
        <v>972</v>
      </c>
      <c r="I342" t="s">
        <v>972</v>
      </c>
      <c r="J342" t="s">
        <v>1091</v>
      </c>
      <c r="L342" t="str">
        <f>_xlfn.TEXTJOIN("/",TRUE,Table2[[#This Row],[Departemen]:[Unit]])</f>
        <v>Supply Chain/Supply Chain/Purchasing</v>
      </c>
      <c r="M342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50-06-010-000</v>
      </c>
      <c r="N342" t="s">
        <v>980</v>
      </c>
      <c r="O342" t="str">
        <f>IFERROR(VLOOKUP(Table2[[#This Row],[Atasan]],Table2[[#All],[Hierarchy]:[Kode Posisi]],2,FALSE),"")</f>
        <v>50-06-000-000</v>
      </c>
      <c r="P342" t="s">
        <v>27</v>
      </c>
      <c r="S342" t="str">
        <f>IFERROR(VLOOKUP(Table2[[#This Row],[ID Karyawan]],[1]!Table4[[#All],[Nik]:[Placement]],37,FALSE),"")</f>
        <v/>
      </c>
      <c r="T342" t="s">
        <v>24</v>
      </c>
      <c r="U342" t="s">
        <v>24</v>
      </c>
      <c r="V342" t="s">
        <v>24</v>
      </c>
    </row>
    <row r="343" spans="1:22">
      <c r="A343" t="s">
        <v>1092</v>
      </c>
      <c r="B343" t="s">
        <v>1093</v>
      </c>
      <c r="C343" s="9">
        <v>26897</v>
      </c>
      <c r="D343">
        <f ca="1">IF(Table2[[#This Row],[Tgl Lahir]]="","Unknown",DATEDIF(Table2[[#This Row],[Tgl Lahir]],TODAY(),"Y"))</f>
        <v>53</v>
      </c>
      <c r="E343" s="9">
        <v>34217</v>
      </c>
      <c r="F343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33 tahun 1 bulan</v>
      </c>
      <c r="G343" t="s">
        <v>523</v>
      </c>
      <c r="H343" t="s">
        <v>972</v>
      </c>
      <c r="I343" t="s">
        <v>972</v>
      </c>
      <c r="J343" t="s">
        <v>1091</v>
      </c>
      <c r="K343" t="s">
        <v>1091</v>
      </c>
      <c r="L343" t="str">
        <f>_xlfn.TEXTJOIN("/",TRUE,Table2[[#This Row],[Departemen]:[Unit]])</f>
        <v>Supply Chain/Supply Chain/Purchasing/Purchasing</v>
      </c>
      <c r="M343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50-06-010-041</v>
      </c>
      <c r="N343" t="s">
        <v>1094</v>
      </c>
      <c r="O343" t="str">
        <f>IFERROR(VLOOKUP(Table2[[#This Row],[Atasan]],Table2[[#All],[Hierarchy]:[Kode Posisi]],2,FALSE),"")</f>
        <v>50-06-010-000</v>
      </c>
      <c r="P343" t="s">
        <v>27</v>
      </c>
      <c r="S343" t="str">
        <f>IFERROR(VLOOKUP(Table2[[#This Row],[ID Karyawan]],[1]!Table4[[#All],[Nik]:[Placement]],37,FALSE),"")</f>
        <v/>
      </c>
      <c r="T343" t="s">
        <v>181</v>
      </c>
      <c r="U343">
        <v>0</v>
      </c>
      <c r="V343">
        <v>0</v>
      </c>
    </row>
    <row r="344" spans="1:22">
      <c r="A344" t="s">
        <v>1095</v>
      </c>
      <c r="B344" t="s">
        <v>1096</v>
      </c>
      <c r="C344" s="9">
        <v>31574</v>
      </c>
      <c r="D344">
        <f ca="1">IF(Table2[[#This Row],[Tgl Lahir]]="","Unknown",DATEDIF(Table2[[#This Row],[Tgl Lahir]],TODAY(),"Y"))</f>
        <v>40</v>
      </c>
      <c r="E344" s="9">
        <v>38628</v>
      </c>
      <c r="F344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21 tahun 0 bulan</v>
      </c>
      <c r="G344" t="s">
        <v>540</v>
      </c>
      <c r="H344" t="s">
        <v>972</v>
      </c>
      <c r="I344" t="s">
        <v>972</v>
      </c>
      <c r="J344" t="s">
        <v>1091</v>
      </c>
      <c r="K344" t="s">
        <v>1091</v>
      </c>
      <c r="L344" t="str">
        <f>_xlfn.TEXTJOIN("/",TRUE,Table2[[#This Row],[Departemen]:[Unit]])</f>
        <v>Supply Chain/Supply Chain/Purchasing/Purchasing</v>
      </c>
      <c r="M344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50-06-010-041</v>
      </c>
      <c r="N344" t="s">
        <v>1094</v>
      </c>
      <c r="O344" t="str">
        <f>IFERROR(VLOOKUP(Table2[[#This Row],[Atasan]],Table2[[#All],[Hierarchy]:[Kode Posisi]],2,FALSE),"")</f>
        <v>50-06-010-000</v>
      </c>
      <c r="P344" t="s">
        <v>27</v>
      </c>
      <c r="S344" t="str">
        <f>IFERROR(VLOOKUP(Table2[[#This Row],[ID Karyawan]],[1]!Table4[[#All],[Nik]:[Placement]],37,FALSE),"")</f>
        <v/>
      </c>
      <c r="T344" t="s">
        <v>546</v>
      </c>
      <c r="U344" t="s">
        <v>1097</v>
      </c>
      <c r="V344" t="s">
        <v>1098</v>
      </c>
    </row>
    <row r="345" spans="1:22">
      <c r="A345" t="s">
        <v>1099</v>
      </c>
      <c r="B345" t="s">
        <v>1100</v>
      </c>
      <c r="C345" s="9">
        <v>34320</v>
      </c>
      <c r="D345">
        <f ca="1">IF(Table2[[#This Row],[Tgl Lahir]]="","Unknown",DATEDIF(Table2[[#This Row],[Tgl Lahir]],TODAY(),"Y"))</f>
        <v>32</v>
      </c>
      <c r="E345" s="9">
        <v>45251</v>
      </c>
      <c r="F345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 tahun 10 bulan</v>
      </c>
      <c r="G345" t="s">
        <v>540</v>
      </c>
      <c r="H345" t="s">
        <v>972</v>
      </c>
      <c r="I345" t="s">
        <v>972</v>
      </c>
      <c r="J345" t="s">
        <v>1091</v>
      </c>
      <c r="K345" t="s">
        <v>1091</v>
      </c>
      <c r="L345" t="str">
        <f>_xlfn.TEXTJOIN("/",TRUE,Table2[[#This Row],[Departemen]:[Unit]])</f>
        <v>Supply Chain/Supply Chain/Purchasing/Purchasing</v>
      </c>
      <c r="M345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50-06-010-041</v>
      </c>
      <c r="N345" t="s">
        <v>1094</v>
      </c>
      <c r="O345" t="str">
        <f>IFERROR(VLOOKUP(Table2[[#This Row],[Atasan]],Table2[[#All],[Hierarchy]:[Kode Posisi]],2,FALSE),"")</f>
        <v>50-06-010-000</v>
      </c>
      <c r="P345" t="s">
        <v>27</v>
      </c>
      <c r="S345" t="str">
        <f>IFERROR(VLOOKUP(Table2[[#This Row],[ID Karyawan]],[1]!Table4[[#All],[Nik]:[Placement]],37,FALSE),"")</f>
        <v/>
      </c>
      <c r="T345" t="s">
        <v>41</v>
      </c>
      <c r="U345" t="s">
        <v>1101</v>
      </c>
      <c r="V345" t="s">
        <v>1102</v>
      </c>
    </row>
    <row r="346" spans="1:22">
      <c r="A346" s="8" t="s">
        <v>1103</v>
      </c>
      <c r="B346" t="s">
        <v>1104</v>
      </c>
      <c r="C346" s="9">
        <v>34933</v>
      </c>
      <c r="D346">
        <f ca="1">IF(Table2[[#This Row],[Tgl Lahir]]="","Unknown",DATEDIF(Table2[[#This Row],[Tgl Lahir]],TODAY(),"Y"))</f>
        <v>31</v>
      </c>
      <c r="E346" s="9">
        <v>46237</v>
      </c>
      <c r="F346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 bulan</v>
      </c>
      <c r="G346" t="s">
        <v>540</v>
      </c>
      <c r="H346" t="s">
        <v>972</v>
      </c>
      <c r="I346" t="s">
        <v>972</v>
      </c>
      <c r="J346" t="s">
        <v>1091</v>
      </c>
      <c r="K346" t="s">
        <v>1091</v>
      </c>
      <c r="L346" t="str">
        <f>_xlfn.TEXTJOIN("/",TRUE,Table2[[#This Row],[Departemen]:[Unit]])</f>
        <v>Supply Chain/Supply Chain/Purchasing/Purchasing</v>
      </c>
      <c r="M346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50-06-010-041</v>
      </c>
      <c r="N346" t="s">
        <v>1094</v>
      </c>
      <c r="O346" t="str">
        <f>IFERROR(VLOOKUP(Table2[[#This Row],[Atasan]],Table2[[#All],[Hierarchy]:[Kode Posisi]],2,FALSE),"")</f>
        <v>50-06-010-000</v>
      </c>
      <c r="P346" t="s">
        <v>27</v>
      </c>
      <c r="S346" t="str">
        <f>IFERROR(VLOOKUP(Table2[[#This Row],[ID Karyawan]],[1]!Table4[[#All],[Nik]:[Placement]],37,FALSE),"")</f>
        <v/>
      </c>
      <c r="T346" t="s">
        <v>41</v>
      </c>
      <c r="U346" t="s">
        <v>24</v>
      </c>
      <c r="V346" t="s">
        <v>24</v>
      </c>
    </row>
    <row r="347" spans="1:22">
      <c r="A347" t="s">
        <v>1105</v>
      </c>
      <c r="B347" t="s">
        <v>1106</v>
      </c>
      <c r="C347" s="9">
        <v>27294</v>
      </c>
      <c r="D347">
        <f ca="1">IF(Table2[[#This Row],[Tgl Lahir]]="","Unknown",DATEDIF(Table2[[#This Row],[Tgl Lahir]],TODAY(),"Y"))</f>
        <v>52</v>
      </c>
      <c r="E347" s="9">
        <v>34645</v>
      </c>
      <c r="F347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31 tahun 11 bulan</v>
      </c>
      <c r="G347" t="s">
        <v>71</v>
      </c>
      <c r="H347" t="s">
        <v>972</v>
      </c>
      <c r="I347" t="s">
        <v>972</v>
      </c>
      <c r="J347" t="s">
        <v>1107</v>
      </c>
      <c r="L347" t="str">
        <f>_xlfn.TEXTJOIN("/",TRUE,Table2[[#This Row],[Departemen]:[Unit]])</f>
        <v>Supply Chain/Supply Chain/EXIM</v>
      </c>
      <c r="M347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50-06-011-000</v>
      </c>
      <c r="N347" t="s">
        <v>980</v>
      </c>
      <c r="O347" t="str">
        <f>IFERROR(VLOOKUP(Table2[[#This Row],[Atasan]],Table2[[#All],[Hierarchy]:[Kode Posisi]],2,FALSE),"")</f>
        <v>50-06-000-000</v>
      </c>
      <c r="P347" t="s">
        <v>27</v>
      </c>
      <c r="S347" t="str">
        <f>IFERROR(VLOOKUP(Table2[[#This Row],[ID Karyawan]],[1]!Table4[[#All],[Nik]:[Placement]],37,FALSE),"")</f>
        <v/>
      </c>
      <c r="T347" t="s">
        <v>74</v>
      </c>
      <c r="U347" t="s">
        <v>24</v>
      </c>
      <c r="V347" t="s">
        <v>24</v>
      </c>
    </row>
    <row r="348" spans="1:22">
      <c r="A348" t="s">
        <v>1108</v>
      </c>
      <c r="B348" t="s">
        <v>1109</v>
      </c>
      <c r="C348" s="9">
        <v>28377</v>
      </c>
      <c r="D348">
        <f ca="1">IF(Table2[[#This Row],[Tgl Lahir]]="","Unknown",DATEDIF(Table2[[#This Row],[Tgl Lahir]],TODAY(),"Y"))</f>
        <v>49</v>
      </c>
      <c r="E348" s="9">
        <v>38600</v>
      </c>
      <c r="F348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21 tahun 1 bulan</v>
      </c>
      <c r="G348" t="s">
        <v>540</v>
      </c>
      <c r="H348" t="s">
        <v>972</v>
      </c>
      <c r="I348" t="s">
        <v>972</v>
      </c>
      <c r="J348" t="s">
        <v>1107</v>
      </c>
      <c r="K348" t="s">
        <v>1107</v>
      </c>
      <c r="L348" t="str">
        <f>_xlfn.TEXTJOIN("/",TRUE,Table2[[#This Row],[Departemen]:[Unit]])</f>
        <v>Supply Chain/Supply Chain/EXIM/EXIM</v>
      </c>
      <c r="M348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50-06-011-039</v>
      </c>
      <c r="N348" t="s">
        <v>1110</v>
      </c>
      <c r="O348" t="str">
        <f>IFERROR(VLOOKUP(Table2[[#This Row],[Atasan]],Table2[[#All],[Hierarchy]:[Kode Posisi]],2,FALSE),"")</f>
        <v>50-06-011-000</v>
      </c>
      <c r="P348" t="s">
        <v>27</v>
      </c>
      <c r="S348" t="str">
        <f>IFERROR(VLOOKUP(Table2[[#This Row],[ID Karyawan]],[1]!Table4[[#All],[Nik]:[Placement]],37,FALSE),"")</f>
        <v/>
      </c>
      <c r="T348" t="s">
        <v>41</v>
      </c>
      <c r="U348" t="s">
        <v>24</v>
      </c>
      <c r="V348" t="s">
        <v>24</v>
      </c>
    </row>
    <row r="349" spans="1:22">
      <c r="A349" t="s">
        <v>1111</v>
      </c>
      <c r="B349" t="s">
        <v>1112</v>
      </c>
      <c r="C349" s="9">
        <v>27961</v>
      </c>
      <c r="D349">
        <f ca="1">IF(Table2[[#This Row],[Tgl Lahir]]="","Unknown",DATEDIF(Table2[[#This Row],[Tgl Lahir]],TODAY(),"Y"))</f>
        <v>50</v>
      </c>
      <c r="E349" s="9">
        <v>39531</v>
      </c>
      <c r="F349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18 tahun 6 bulan</v>
      </c>
      <c r="G349" t="s">
        <v>540</v>
      </c>
      <c r="H349" t="s">
        <v>972</v>
      </c>
      <c r="I349" t="s">
        <v>972</v>
      </c>
      <c r="J349" t="s">
        <v>1107</v>
      </c>
      <c r="K349" t="s">
        <v>1107</v>
      </c>
      <c r="L349" t="str">
        <f>_xlfn.TEXTJOIN("/",TRUE,Table2[[#This Row],[Departemen]:[Unit]])</f>
        <v>Supply Chain/Supply Chain/EXIM/EXIM</v>
      </c>
      <c r="M349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50-06-011-039</v>
      </c>
      <c r="N349" t="s">
        <v>1110</v>
      </c>
      <c r="O349" t="str">
        <f>IFERROR(VLOOKUP(Table2[[#This Row],[Atasan]],Table2[[#All],[Hierarchy]:[Kode Posisi]],2,FALSE),"")</f>
        <v>50-06-011-000</v>
      </c>
      <c r="P349" t="s">
        <v>27</v>
      </c>
      <c r="S349" t="str">
        <f>IFERROR(VLOOKUP(Table2[[#This Row],[ID Karyawan]],[1]!Table4[[#All],[Nik]:[Placement]],37,FALSE),"")</f>
        <v/>
      </c>
      <c r="T349" t="s">
        <v>41</v>
      </c>
      <c r="U349" t="s">
        <v>24</v>
      </c>
      <c r="V349" t="s">
        <v>24</v>
      </c>
    </row>
    <row r="350" spans="1:22">
      <c r="A350" t="s">
        <v>1113</v>
      </c>
      <c r="B350" t="s">
        <v>1114</v>
      </c>
      <c r="C350" s="9">
        <v>34062</v>
      </c>
      <c r="D350">
        <f ca="1">IF(Table2[[#This Row],[Tgl Lahir]]="","Unknown",DATEDIF(Table2[[#This Row],[Tgl Lahir]],TODAY(),"Y"))</f>
        <v>33</v>
      </c>
      <c r="E350" s="9">
        <v>46120</v>
      </c>
      <c r="F350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6 bulan</v>
      </c>
      <c r="G350" t="s">
        <v>702</v>
      </c>
      <c r="H350" t="s">
        <v>972</v>
      </c>
      <c r="I350" t="s">
        <v>972</v>
      </c>
      <c r="J350" t="s">
        <v>1107</v>
      </c>
      <c r="K350" t="s">
        <v>1107</v>
      </c>
      <c r="L350" t="str">
        <f>_xlfn.TEXTJOIN("/",TRUE,Table2[[#This Row],[Departemen]:[Unit]])</f>
        <v>Supply Chain/Supply Chain/EXIM/EXIM</v>
      </c>
      <c r="M350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50-06-011-039</v>
      </c>
      <c r="N350" t="s">
        <v>1110</v>
      </c>
      <c r="O350" t="str">
        <f>IFERROR(VLOOKUP(Table2[[#This Row],[Atasan]],Table2[[#All],[Hierarchy]:[Kode Posisi]],2,FALSE),"")</f>
        <v>50-06-011-000</v>
      </c>
      <c r="P350" t="s">
        <v>27</v>
      </c>
      <c r="S350" t="str">
        <f>IFERROR(VLOOKUP(Table2[[#This Row],[ID Karyawan]],[1]!Table4[[#All],[Nik]:[Placement]],37,FALSE),"")</f>
        <v/>
      </c>
      <c r="T350" t="s">
        <v>770</v>
      </c>
      <c r="U350" t="s">
        <v>24</v>
      </c>
      <c r="V350" t="s">
        <v>24</v>
      </c>
    </row>
    <row r="351" spans="1:22">
      <c r="A351" t="s">
        <v>37</v>
      </c>
      <c r="B351" t="s">
        <v>38</v>
      </c>
      <c r="C351" s="9">
        <v>23565</v>
      </c>
      <c r="D351" s="11">
        <f ca="1">IF(Table2[[#This Row],[Tgl Lahir]]="","Unknown",DATEDIF(Table2[[#This Row],[Tgl Lahir]],TODAY(),"Y"))</f>
        <v>62</v>
      </c>
      <c r="E351" s="9">
        <v>35431</v>
      </c>
      <c r="F351" s="11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9 bulan</v>
      </c>
      <c r="G351" t="s">
        <v>60</v>
      </c>
      <c r="H351" t="s">
        <v>1115</v>
      </c>
      <c r="K351" s="11"/>
      <c r="L351" s="11" t="str">
        <f>_xlfn.TEXTJOIN("/",TRUE,Table2[[#This Row],[Departemen]:[Unit]])</f>
        <v>Research &amp; Development</v>
      </c>
      <c r="M351" s="11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60-00-000-000</v>
      </c>
      <c r="N351" t="s">
        <v>40</v>
      </c>
      <c r="O351" s="11" t="str">
        <f>IFERROR(VLOOKUP(Table2[[#This Row],[Atasan]],Table2[[#All],[Hierarchy]:[Kode Posisi]],2,FALSE),"")</f>
        <v>02-00-000-000</v>
      </c>
      <c r="P351" s="11" t="s">
        <v>62</v>
      </c>
      <c r="Q351" s="11"/>
      <c r="R351" s="11"/>
      <c r="S351" s="11" t="str">
        <f>IFERROR(VLOOKUP(Table2[[#This Row],[ID Karyawan]],[1]!Table4[[#All],[Nik]:[Placement]],37,FALSE),"")</f>
        <v/>
      </c>
      <c r="T351" s="11"/>
      <c r="U351" s="11"/>
      <c r="V351" s="11"/>
    </row>
    <row r="352" spans="1:22">
      <c r="A352" t="s">
        <v>63</v>
      </c>
      <c r="B352" t="s">
        <v>64</v>
      </c>
      <c r="C352" s="9">
        <v>31801</v>
      </c>
      <c r="D352">
        <f ca="1">IF(Table2[[#This Row],[Tgl Lahir]]="","Unknown",DATEDIF(Table2[[#This Row],[Tgl Lahir]],TODAY(),"Y"))</f>
        <v>39</v>
      </c>
      <c r="E352" s="9">
        <v>41275</v>
      </c>
      <c r="F352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13 tahun 9 bulan</v>
      </c>
      <c r="G352" t="s">
        <v>65</v>
      </c>
      <c r="H352" t="s">
        <v>1115</v>
      </c>
      <c r="L352" t="str">
        <f>_xlfn.TEXTJOIN("/",TRUE,Table2[[#This Row],[Departemen]:[Unit]])</f>
        <v>Research &amp; Development</v>
      </c>
      <c r="M352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60-00-000-000</v>
      </c>
      <c r="N352" t="s">
        <v>40</v>
      </c>
      <c r="O352" t="str">
        <f>IFERROR(VLOOKUP(Table2[[#This Row],[Atasan]],Table2[[#All],[Hierarchy]:[Kode Posisi]],2,FALSE),"")</f>
        <v>02-00-000-000</v>
      </c>
      <c r="P352" t="s">
        <v>62</v>
      </c>
      <c r="S352" t="str">
        <f>IFERROR(VLOOKUP(Table2[[#This Row],[ID Karyawan]],[1]!Table4[[#All],[Nik]:[Placement]],37,FALSE),"")</f>
        <v/>
      </c>
      <c r="T352" t="s">
        <v>41</v>
      </c>
      <c r="U352" t="s">
        <v>24</v>
      </c>
      <c r="V352" t="s">
        <v>24</v>
      </c>
    </row>
    <row r="353" spans="1:22">
      <c r="A353" t="s">
        <v>1116</v>
      </c>
      <c r="B353" t="s">
        <v>1117</v>
      </c>
      <c r="C353" s="9">
        <v>29642</v>
      </c>
      <c r="D353">
        <f ca="1">IF(Table2[[#This Row],[Tgl Lahir]]="","Unknown",DATEDIF(Table2[[#This Row],[Tgl Lahir]],TODAY(),"Y"))</f>
        <v>45</v>
      </c>
      <c r="E353" s="9">
        <v>46125</v>
      </c>
      <c r="F353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6 bulan</v>
      </c>
      <c r="G353" t="s">
        <v>67</v>
      </c>
      <c r="H353" t="s">
        <v>1115</v>
      </c>
      <c r="I353" t="s">
        <v>1115</v>
      </c>
      <c r="L353" t="str">
        <f>_xlfn.TEXTJOIN("/",TRUE,Table2[[#This Row],[Departemen]:[Unit]])</f>
        <v>Research &amp; Development/Research &amp; Development</v>
      </c>
      <c r="M353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60-10-000-000</v>
      </c>
      <c r="N353" t="s">
        <v>1115</v>
      </c>
      <c r="O353" t="str">
        <f>IFERROR(VLOOKUP(Table2[[#This Row],[Atasan]],Table2[[#All],[Hierarchy]:[Kode Posisi]],2,FALSE),"")</f>
        <v>60-00-000-000</v>
      </c>
      <c r="P353" t="s">
        <v>27</v>
      </c>
      <c r="S353" t="str">
        <f>IFERROR(VLOOKUP(Table2[[#This Row],[ID Karyawan]],[1]!Table4[[#All],[Nik]:[Placement]],37,FALSE),"")</f>
        <v/>
      </c>
      <c r="T353" t="s">
        <v>41</v>
      </c>
      <c r="U353" t="s">
        <v>24</v>
      </c>
      <c r="V353" t="s">
        <v>24</v>
      </c>
    </row>
    <row r="354" spans="1:22">
      <c r="A354" t="s">
        <v>1118</v>
      </c>
      <c r="B354" t="s">
        <v>1119</v>
      </c>
      <c r="C354" s="9">
        <v>33958</v>
      </c>
      <c r="D354">
        <f ca="1">IF(Table2[[#This Row],[Tgl Lahir]]="","Unknown",DATEDIF(Table2[[#This Row],[Tgl Lahir]],TODAY(),"Y"))</f>
        <v>33</v>
      </c>
      <c r="E354" s="9">
        <v>43010</v>
      </c>
      <c r="F354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9 tahun 0 bulan</v>
      </c>
      <c r="G354" t="s">
        <v>71</v>
      </c>
      <c r="H354" t="s">
        <v>1115</v>
      </c>
      <c r="I354" t="s">
        <v>1115</v>
      </c>
      <c r="J354" t="s">
        <v>1115</v>
      </c>
      <c r="L354" t="str">
        <f>_xlfn.TEXTJOIN("/",TRUE,Table2[[#This Row],[Departemen]:[Unit]])</f>
        <v>Research &amp; Development/Research &amp; Development/Research &amp; Development</v>
      </c>
      <c r="M354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60-10-028-000</v>
      </c>
      <c r="N354" t="s">
        <v>1120</v>
      </c>
      <c r="O354" t="str">
        <f>IFERROR(VLOOKUP(Table2[[#This Row],[Atasan]],Table2[[#All],[Hierarchy]:[Kode Posisi]],2,FALSE),"")</f>
        <v>60-10-000-000</v>
      </c>
      <c r="P354" t="s">
        <v>27</v>
      </c>
      <c r="S354" t="str">
        <f>IFERROR(VLOOKUP(Table2[[#This Row],[ID Karyawan]],[1]!Table4[[#All],[Nik]:[Placement]],37,FALSE),"")</f>
        <v/>
      </c>
      <c r="T354" t="s">
        <v>41</v>
      </c>
      <c r="U354" t="s">
        <v>1121</v>
      </c>
      <c r="V354" t="s">
        <v>1122</v>
      </c>
    </row>
    <row r="355" spans="1:22">
      <c r="A355" t="s">
        <v>1123</v>
      </c>
      <c r="B355" t="s">
        <v>1124</v>
      </c>
      <c r="C355" s="9">
        <v>26142</v>
      </c>
      <c r="D355">
        <f ca="1">IF(Table2[[#This Row],[Tgl Lahir]]="","Unknown",DATEDIF(Table2[[#This Row],[Tgl Lahir]],TODAY(),"Y"))</f>
        <v>55</v>
      </c>
      <c r="E355" s="9">
        <v>35542</v>
      </c>
      <c r="F355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5 bulan</v>
      </c>
      <c r="G355" t="s">
        <v>523</v>
      </c>
      <c r="H355" t="s">
        <v>1115</v>
      </c>
      <c r="I355" t="s">
        <v>1115</v>
      </c>
      <c r="J355" t="s">
        <v>1115</v>
      </c>
      <c r="K355" t="s">
        <v>1115</v>
      </c>
      <c r="L355" t="str">
        <f>_xlfn.TEXTJOIN("/",TRUE,Table2[[#This Row],[Departemen]:[Unit]])</f>
        <v>Research &amp; Development/Research &amp; Development/Research &amp; Development/Research &amp; Development</v>
      </c>
      <c r="M355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60-10-028-047</v>
      </c>
      <c r="N355" t="s">
        <v>1125</v>
      </c>
      <c r="O355" t="str">
        <f>IFERROR(VLOOKUP(Table2[[#This Row],[Atasan]],Table2[[#All],[Hierarchy]:[Kode Posisi]],2,FALSE),"")</f>
        <v>60-10-028-000</v>
      </c>
      <c r="P355" t="s">
        <v>27</v>
      </c>
      <c r="S355" t="str">
        <f>IFERROR(VLOOKUP(Table2[[#This Row],[ID Karyawan]],[1]!Table4[[#All],[Nik]:[Placement]],37,FALSE),"")</f>
        <v/>
      </c>
      <c r="T355" t="s">
        <v>74</v>
      </c>
      <c r="U355">
        <v>0</v>
      </c>
      <c r="V355">
        <v>0</v>
      </c>
    </row>
    <row r="356" spans="1:22">
      <c r="A356" t="s">
        <v>1126</v>
      </c>
      <c r="B356" t="s">
        <v>1127</v>
      </c>
      <c r="C356" s="9">
        <v>28883</v>
      </c>
      <c r="D356">
        <f ca="1">IF(Table2[[#This Row],[Tgl Lahir]]="","Unknown",DATEDIF(Table2[[#This Row],[Tgl Lahir]],TODAY(),"Y"))</f>
        <v>47</v>
      </c>
      <c r="E356" s="9">
        <v>40227</v>
      </c>
      <c r="F356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16 tahun 7 bulan</v>
      </c>
      <c r="G356" t="s">
        <v>1128</v>
      </c>
      <c r="H356" t="s">
        <v>1115</v>
      </c>
      <c r="I356" t="s">
        <v>1115</v>
      </c>
      <c r="J356" t="s">
        <v>1115</v>
      </c>
      <c r="K356" t="s">
        <v>1115</v>
      </c>
      <c r="L356" t="str">
        <f>_xlfn.TEXTJOIN("/",TRUE,Table2[[#This Row],[Departemen]:[Unit]])</f>
        <v>Research &amp; Development/Research &amp; Development/Research &amp; Development/Research &amp; Development</v>
      </c>
      <c r="M356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60-10-028-047</v>
      </c>
      <c r="N356" t="s">
        <v>1125</v>
      </c>
      <c r="O356" t="str">
        <f>IFERROR(VLOOKUP(Table2[[#This Row],[Atasan]],Table2[[#All],[Hierarchy]:[Kode Posisi]],2,FALSE),"")</f>
        <v>60-10-028-000</v>
      </c>
      <c r="P356" t="s">
        <v>27</v>
      </c>
      <c r="S356" t="str">
        <f>IFERROR(VLOOKUP(Table2[[#This Row],[ID Karyawan]],[1]!Table4[[#All],[Nik]:[Placement]],37,FALSE),"")</f>
        <v/>
      </c>
      <c r="T356" t="s">
        <v>74</v>
      </c>
      <c r="U356" t="s">
        <v>79</v>
      </c>
      <c r="V356">
        <v>0</v>
      </c>
    </row>
    <row r="357" spans="1:22">
      <c r="A357" t="s">
        <v>1129</v>
      </c>
      <c r="B357" t="s">
        <v>1130</v>
      </c>
      <c r="C357" s="9">
        <v>30121</v>
      </c>
      <c r="D357">
        <f ca="1">IF(Table2[[#This Row],[Tgl Lahir]]="","Unknown",DATEDIF(Table2[[#This Row],[Tgl Lahir]],TODAY(),"Y"))</f>
        <v>44</v>
      </c>
      <c r="E357" s="9">
        <v>40959</v>
      </c>
      <c r="F357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14 tahun 7 bulan</v>
      </c>
      <c r="G357" t="s">
        <v>540</v>
      </c>
      <c r="H357" t="s">
        <v>1115</v>
      </c>
      <c r="I357" t="s">
        <v>1115</v>
      </c>
      <c r="J357" t="s">
        <v>1115</v>
      </c>
      <c r="K357" t="s">
        <v>1115</v>
      </c>
      <c r="L357" t="str">
        <f>_xlfn.TEXTJOIN("/",TRUE,Table2[[#This Row],[Departemen]:[Unit]])</f>
        <v>Research &amp; Development/Research &amp; Development/Research &amp; Development/Research &amp; Development</v>
      </c>
      <c r="M357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60-10-028-047</v>
      </c>
      <c r="N357" t="s">
        <v>1125</v>
      </c>
      <c r="O357" t="str">
        <f>IFERROR(VLOOKUP(Table2[[#This Row],[Atasan]],Table2[[#All],[Hierarchy]:[Kode Posisi]],2,FALSE),"")</f>
        <v>60-10-028-000</v>
      </c>
      <c r="P357" t="s">
        <v>27</v>
      </c>
      <c r="S357" t="str">
        <f>IFERROR(VLOOKUP(Table2[[#This Row],[ID Karyawan]],[1]!Table4[[#All],[Nik]:[Placement]],37,FALSE),"")</f>
        <v/>
      </c>
      <c r="T357" t="s">
        <v>74</v>
      </c>
      <c r="U357" t="s">
        <v>258</v>
      </c>
      <c r="V357">
        <v>0</v>
      </c>
    </row>
    <row r="358" spans="1:22">
      <c r="A358" t="s">
        <v>1131</v>
      </c>
      <c r="B358" t="s">
        <v>1132</v>
      </c>
      <c r="C358" s="9">
        <v>38136</v>
      </c>
      <c r="D358">
        <f ca="1">IF(Table2[[#This Row],[Tgl Lahir]]="","Unknown",DATEDIF(Table2[[#This Row],[Tgl Lahir]],TODAY(),"Y"))</f>
        <v>22</v>
      </c>
      <c r="E358" s="9">
        <v>46175</v>
      </c>
      <c r="F358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bulan</v>
      </c>
      <c r="G358" t="s">
        <v>1128</v>
      </c>
      <c r="H358" t="s">
        <v>1115</v>
      </c>
      <c r="I358" t="s">
        <v>1115</v>
      </c>
      <c r="J358" t="s">
        <v>1115</v>
      </c>
      <c r="K358" t="s">
        <v>1115</v>
      </c>
      <c r="L358" t="str">
        <f>_xlfn.TEXTJOIN("/",TRUE,Table2[[#This Row],[Departemen]:[Unit]])</f>
        <v>Research &amp; Development/Research &amp; Development/Research &amp; Development/Research &amp; Development</v>
      </c>
      <c r="M358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60-10-028-047</v>
      </c>
      <c r="N358" t="s">
        <v>1125</v>
      </c>
      <c r="O358" t="str">
        <f>IFERROR(VLOOKUP(Table2[[#This Row],[Atasan]],Table2[[#All],[Hierarchy]:[Kode Posisi]],2,FALSE),"")</f>
        <v>60-10-028-000</v>
      </c>
      <c r="P358" t="s">
        <v>27</v>
      </c>
      <c r="S358" t="str">
        <f>IFERROR(VLOOKUP(Table2[[#This Row],[ID Karyawan]],[1]!Table4[[#All],[Nik]:[Placement]],37,FALSE),"")</f>
        <v/>
      </c>
      <c r="T358" t="s">
        <v>41</v>
      </c>
      <c r="U358" t="s">
        <v>24</v>
      </c>
      <c r="V358" t="s">
        <v>24</v>
      </c>
    </row>
    <row r="359" spans="1:22">
      <c r="A359" t="s">
        <v>1133</v>
      </c>
      <c r="B359" t="s">
        <v>1134</v>
      </c>
      <c r="C359" s="9">
        <v>34250</v>
      </c>
      <c r="D359">
        <f ca="1">IF(Table2[[#This Row],[Tgl Lahir]]="","Unknown",DATEDIF(Table2[[#This Row],[Tgl Lahir]],TODAY(),"Y"))</f>
        <v>33</v>
      </c>
      <c r="E359" s="9">
        <v>46163</v>
      </c>
      <c r="F359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bulan</v>
      </c>
      <c r="G359" t="s">
        <v>1128</v>
      </c>
      <c r="H359" t="s">
        <v>1115</v>
      </c>
      <c r="I359" t="s">
        <v>1115</v>
      </c>
      <c r="J359" t="s">
        <v>1115</v>
      </c>
      <c r="K359" t="s">
        <v>1115</v>
      </c>
      <c r="L359" t="str">
        <f>_xlfn.TEXTJOIN("/",TRUE,Table2[[#This Row],[Departemen]:[Unit]])</f>
        <v>Research &amp; Development/Research &amp; Development/Research &amp; Development/Research &amp; Development</v>
      </c>
      <c r="M359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60-10-028-047</v>
      </c>
      <c r="N359" t="s">
        <v>1125</v>
      </c>
      <c r="O359" t="str">
        <f>IFERROR(VLOOKUP(Table2[[#This Row],[Atasan]],Table2[[#All],[Hierarchy]:[Kode Posisi]],2,FALSE),"")</f>
        <v>60-10-028-000</v>
      </c>
      <c r="P359" t="s">
        <v>27</v>
      </c>
      <c r="S359" t="str">
        <f>IFERROR(VLOOKUP(Table2[[#This Row],[ID Karyawan]],[1]!Table4[[#All],[Nik]:[Placement]],37,FALSE),"")</f>
        <v/>
      </c>
      <c r="T359" t="s">
        <v>231</v>
      </c>
      <c r="U359" t="s">
        <v>24</v>
      </c>
      <c r="V359" t="s">
        <v>24</v>
      </c>
    </row>
    <row r="360" spans="1:22">
      <c r="A360" t="s">
        <v>1135</v>
      </c>
      <c r="B360" t="s">
        <v>1136</v>
      </c>
      <c r="C360" s="9">
        <v>24148</v>
      </c>
      <c r="D360">
        <f ca="1">IF(Table2[[#This Row],[Tgl Lahir]]="","Unknown",DATEDIF(Table2[[#This Row],[Tgl Lahir]],TODAY(),"Y"))</f>
        <v>60</v>
      </c>
      <c r="E360" s="9">
        <v>35495</v>
      </c>
      <c r="F360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7 bulan</v>
      </c>
      <c r="G360" t="s">
        <v>970</v>
      </c>
      <c r="H360" t="s">
        <v>1115</v>
      </c>
      <c r="I360" t="s">
        <v>1115</v>
      </c>
      <c r="J360" t="s">
        <v>1137</v>
      </c>
      <c r="L360" t="str">
        <f>_xlfn.TEXTJOIN("/",TRUE,Table2[[#This Row],[Departemen]:[Unit]])</f>
        <v>Research &amp; Development/Research &amp; Development/Technical &amp; Product Development</v>
      </c>
      <c r="M360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60-10-029-000</v>
      </c>
      <c r="N360" t="s">
        <v>1120</v>
      </c>
      <c r="O360" t="str">
        <f>IFERROR(VLOOKUP(Table2[[#This Row],[Atasan]],Table2[[#All],[Hierarchy]:[Kode Posisi]],2,FALSE),"")</f>
        <v>60-10-000-000</v>
      </c>
      <c r="P360" t="s">
        <v>27</v>
      </c>
      <c r="S360" t="str">
        <f>IFERROR(VLOOKUP(Table2[[#This Row],[ID Karyawan]],[1]!Table4[[#All],[Nik]:[Placement]],37,FALSE),"")</f>
        <v/>
      </c>
      <c r="T360" t="s">
        <v>74</v>
      </c>
      <c r="U360">
        <v>0</v>
      </c>
      <c r="V360">
        <v>0</v>
      </c>
    </row>
    <row r="361" spans="1:22">
      <c r="A361" t="s">
        <v>1138</v>
      </c>
      <c r="B361" t="s">
        <v>400</v>
      </c>
      <c r="C361" s="9">
        <v>26834</v>
      </c>
      <c r="D361">
        <f ca="1">IF(Table2[[#This Row],[Tgl Lahir]]="","Unknown",DATEDIF(Table2[[#This Row],[Tgl Lahir]],TODAY(),"Y"))</f>
        <v>53</v>
      </c>
      <c r="E361" s="9">
        <v>35592</v>
      </c>
      <c r="F361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4 bulan</v>
      </c>
      <c r="G361" t="s">
        <v>970</v>
      </c>
      <c r="H361" t="s">
        <v>1115</v>
      </c>
      <c r="I361" t="s">
        <v>1115</v>
      </c>
      <c r="J361" t="s">
        <v>1137</v>
      </c>
      <c r="L361" t="str">
        <f>_xlfn.TEXTJOIN("/",TRUE,Table2[[#This Row],[Departemen]:[Unit]])</f>
        <v>Research &amp; Development/Research &amp; Development/Technical &amp; Product Development</v>
      </c>
      <c r="M361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60-10-029-000</v>
      </c>
      <c r="N361" t="s">
        <v>1120</v>
      </c>
      <c r="O361" t="str">
        <f>IFERROR(VLOOKUP(Table2[[#This Row],[Atasan]],Table2[[#All],[Hierarchy]:[Kode Posisi]],2,FALSE),"")</f>
        <v>60-10-000-000</v>
      </c>
      <c r="P361" t="s">
        <v>27</v>
      </c>
      <c r="S361" t="str">
        <f>IFERROR(VLOOKUP(Table2[[#This Row],[ID Karyawan]],[1]!Table4[[#All],[Nik]:[Placement]],37,FALSE),"")</f>
        <v/>
      </c>
      <c r="T361" t="s">
        <v>121</v>
      </c>
      <c r="U361" t="s">
        <v>506</v>
      </c>
      <c r="V361" t="s">
        <v>510</v>
      </c>
    </row>
    <row r="362" spans="1:22">
      <c r="A362" t="s">
        <v>49</v>
      </c>
      <c r="B362" t="s">
        <v>50</v>
      </c>
      <c r="C362" s="9">
        <v>25727</v>
      </c>
      <c r="D362">
        <f ca="1">IF(Table2[[#This Row],[Tgl Lahir]]="","Unknown",DATEDIF(Table2[[#This Row],[Tgl Lahir]],TODAY(),"Y"))</f>
        <v>56</v>
      </c>
      <c r="E362" s="9">
        <v>35065</v>
      </c>
      <c r="F362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30 tahun 9 bulan</v>
      </c>
      <c r="G362" t="s">
        <v>60</v>
      </c>
      <c r="H362" t="s">
        <v>1139</v>
      </c>
      <c r="L362" t="str">
        <f>_xlfn.TEXTJOIN("/",TRUE,Table2[[#This Row],[Departemen]:[Unit]])</f>
        <v>Finance &amp; Accounting</v>
      </c>
      <c r="M362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70-00-000-000</v>
      </c>
      <c r="N362" t="s">
        <v>40</v>
      </c>
      <c r="O362" t="str">
        <f>IFERROR(VLOOKUP(Table2[[#This Row],[Atasan]],Table2[[#All],[Hierarchy]:[Kode Posisi]],2,FALSE),"")</f>
        <v>02-00-000-000</v>
      </c>
      <c r="P362" t="s">
        <v>62</v>
      </c>
      <c r="S362" t="str">
        <f>IFERROR(VLOOKUP(Table2[[#This Row],[ID Karyawan]],[1]!Table4[[#All],[Nik]:[Placement]],37,FALSE),"")</f>
        <v/>
      </c>
      <c r="T362" t="s">
        <v>41</v>
      </c>
      <c r="U362" t="s">
        <v>24</v>
      </c>
      <c r="V362" t="s">
        <v>24</v>
      </c>
    </row>
    <row r="363" spans="1:22">
      <c r="A363" t="s">
        <v>1140</v>
      </c>
      <c r="B363" t="s">
        <v>1141</v>
      </c>
      <c r="C363" s="9">
        <v>27110</v>
      </c>
      <c r="D363">
        <f ca="1">IF(Table2[[#This Row],[Tgl Lahir]]="","Unknown",DATEDIF(Table2[[#This Row],[Tgl Lahir]],TODAY(),"Y"))</f>
        <v>52</v>
      </c>
      <c r="E363" s="9">
        <v>35632</v>
      </c>
      <c r="F363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2 bulan</v>
      </c>
      <c r="G363" t="s">
        <v>67</v>
      </c>
      <c r="H363" t="s">
        <v>1139</v>
      </c>
      <c r="I363" t="s">
        <v>1142</v>
      </c>
      <c r="L363" t="str">
        <f>_xlfn.TEXTJOIN("/",TRUE,Table2[[#This Row],[Departemen]:[Unit]])</f>
        <v>Finance &amp; Accounting/Finance &amp; Treasury</v>
      </c>
      <c r="M363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70-13-000-000</v>
      </c>
      <c r="N363" t="s">
        <v>1139</v>
      </c>
      <c r="O363" t="str">
        <f>IFERROR(VLOOKUP(Table2[[#This Row],[Atasan]],Table2[[#All],[Hierarchy]:[Kode Posisi]],2,FALSE),"")</f>
        <v>70-00-000-000</v>
      </c>
      <c r="P363" t="s">
        <v>27</v>
      </c>
      <c r="S363" t="str">
        <f>IFERROR(VLOOKUP(Table2[[#This Row],[ID Karyawan]],[1]!Table4[[#All],[Nik]:[Placement]],37,FALSE),"")</f>
        <v/>
      </c>
      <c r="T363" t="s">
        <v>41</v>
      </c>
      <c r="U363" t="s">
        <v>704</v>
      </c>
      <c r="V363" t="s">
        <v>744</v>
      </c>
    </row>
    <row r="364" spans="1:22">
      <c r="A364" t="s">
        <v>1143</v>
      </c>
      <c r="B364" t="s">
        <v>1144</v>
      </c>
      <c r="C364" s="9">
        <v>35437</v>
      </c>
      <c r="D364">
        <f ca="1">IF(Table2[[#This Row],[Tgl Lahir]]="","Unknown",DATEDIF(Table2[[#This Row],[Tgl Lahir]],TODAY(),"Y"))</f>
        <v>29</v>
      </c>
      <c r="E364" s="9">
        <v>43678</v>
      </c>
      <c r="F364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7 tahun 2 bulan</v>
      </c>
      <c r="G364" t="s">
        <v>702</v>
      </c>
      <c r="H364" t="s">
        <v>1139</v>
      </c>
      <c r="I364" t="s">
        <v>1142</v>
      </c>
      <c r="J364" t="s">
        <v>1145</v>
      </c>
      <c r="L364" t="str">
        <f>_xlfn.TEXTJOIN("/",TRUE,Table2[[#This Row],[Departemen]:[Unit]])</f>
        <v>Finance &amp; Accounting/Finance &amp; Treasury/Treasury</v>
      </c>
      <c r="M364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70-13-020-000</v>
      </c>
      <c r="N364" t="s">
        <v>1146</v>
      </c>
      <c r="O364" t="str">
        <f>IFERROR(VLOOKUP(Table2[[#This Row],[Atasan]],Table2[[#All],[Hierarchy]:[Kode Posisi]],2,FALSE),"")</f>
        <v>70-13-000-000</v>
      </c>
      <c r="P364" t="s">
        <v>27</v>
      </c>
      <c r="S364" t="str">
        <f>IFERROR(VLOOKUP(Table2[[#This Row],[ID Karyawan]],[1]!Table4[[#All],[Nik]:[Placement]],37,FALSE),"")</f>
        <v/>
      </c>
      <c r="T364" t="s">
        <v>41</v>
      </c>
      <c r="U364" t="s">
        <v>1101</v>
      </c>
      <c r="V364" t="s">
        <v>1147</v>
      </c>
    </row>
    <row r="365" spans="1:22">
      <c r="A365" t="s">
        <v>1148</v>
      </c>
      <c r="B365" t="s">
        <v>1149</v>
      </c>
      <c r="C365" s="9">
        <v>35235</v>
      </c>
      <c r="D365">
        <f ca="1">IF(Table2[[#This Row],[Tgl Lahir]]="","Unknown",DATEDIF(Table2[[#This Row],[Tgl Lahir]],TODAY(),"Y"))</f>
        <v>30</v>
      </c>
      <c r="E365" s="9">
        <v>43725</v>
      </c>
      <c r="F365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7 tahun 0 bulan</v>
      </c>
      <c r="G365" t="s">
        <v>702</v>
      </c>
      <c r="H365" t="s">
        <v>1139</v>
      </c>
      <c r="I365" t="s">
        <v>1142</v>
      </c>
      <c r="J365" t="s">
        <v>1150</v>
      </c>
      <c r="L365" t="str">
        <f>_xlfn.TEXTJOIN("/",TRUE,Table2[[#This Row],[Departemen]:[Unit]])</f>
        <v>Finance &amp; Accounting/Finance &amp; Treasury/Finance Operations</v>
      </c>
      <c r="M365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70-13-021-000</v>
      </c>
      <c r="N365" t="s">
        <v>1146</v>
      </c>
      <c r="O365" t="str">
        <f>IFERROR(VLOOKUP(Table2[[#This Row],[Atasan]],Table2[[#All],[Hierarchy]:[Kode Posisi]],2,FALSE),"")</f>
        <v>70-13-000-000</v>
      </c>
      <c r="P365" t="s">
        <v>27</v>
      </c>
      <c r="S365" t="str">
        <f>IFERROR(VLOOKUP(Table2[[#This Row],[ID Karyawan]],[1]!Table4[[#All],[Nik]:[Placement]],37,FALSE),"")</f>
        <v/>
      </c>
      <c r="T365" t="s">
        <v>41</v>
      </c>
      <c r="U365" t="s">
        <v>704</v>
      </c>
      <c r="V365" t="s">
        <v>1151</v>
      </c>
    </row>
    <row r="366" spans="1:22">
      <c r="A366" t="s">
        <v>1152</v>
      </c>
      <c r="B366" t="s">
        <v>1153</v>
      </c>
      <c r="C366" s="9">
        <v>36351</v>
      </c>
      <c r="D366">
        <f ca="1">IF(Table2[[#This Row],[Tgl Lahir]]="","Unknown",DATEDIF(Table2[[#This Row],[Tgl Lahir]],TODAY(),"Y"))</f>
        <v>27</v>
      </c>
      <c r="E366" s="9">
        <v>45229</v>
      </c>
      <c r="F366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 tahun 11 bulan</v>
      </c>
      <c r="G366" t="s">
        <v>540</v>
      </c>
      <c r="H366" t="s">
        <v>1139</v>
      </c>
      <c r="I366" t="s">
        <v>1142</v>
      </c>
      <c r="J366" t="s">
        <v>1150</v>
      </c>
      <c r="L366" t="str">
        <f>_xlfn.TEXTJOIN("/",TRUE,Table2[[#This Row],[Departemen]:[Unit]])</f>
        <v>Finance &amp; Accounting/Finance &amp; Treasury/Finance Operations</v>
      </c>
      <c r="M366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70-13-021-000</v>
      </c>
      <c r="N366" t="s">
        <v>1146</v>
      </c>
      <c r="O366" t="str">
        <f>IFERROR(VLOOKUP(Table2[[#This Row],[Atasan]],Table2[[#All],[Hierarchy]:[Kode Posisi]],2,FALSE),"")</f>
        <v>70-13-000-000</v>
      </c>
      <c r="P366" t="s">
        <v>27</v>
      </c>
      <c r="S366" t="str">
        <f>IFERROR(VLOOKUP(Table2[[#This Row],[ID Karyawan]],[1]!Table4[[#All],[Nik]:[Placement]],37,FALSE),"")</f>
        <v/>
      </c>
      <c r="T366" t="s">
        <v>41</v>
      </c>
      <c r="U366" t="s">
        <v>1154</v>
      </c>
      <c r="V366" t="s">
        <v>1155</v>
      </c>
    </row>
    <row r="367" spans="1:22">
      <c r="A367" t="s">
        <v>1156</v>
      </c>
      <c r="B367" t="s">
        <v>1157</v>
      </c>
      <c r="C367" s="9">
        <v>26028</v>
      </c>
      <c r="D367">
        <f ca="1">IF(Table2[[#This Row],[Tgl Lahir]]="","Unknown",DATEDIF(Table2[[#This Row],[Tgl Lahir]],TODAY(),"Y"))</f>
        <v>55</v>
      </c>
      <c r="E367" s="9">
        <v>35065</v>
      </c>
      <c r="F367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30 tahun 9 bulan</v>
      </c>
      <c r="G367" t="s">
        <v>67</v>
      </c>
      <c r="H367" t="s">
        <v>1139</v>
      </c>
      <c r="I367" t="s">
        <v>1158</v>
      </c>
      <c r="L367" t="str">
        <f>_xlfn.TEXTJOIN("/",TRUE,Table2[[#This Row],[Departemen]:[Unit]])</f>
        <v>Finance &amp; Accounting/Accounting &amp; Tax</v>
      </c>
      <c r="M367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70-14-000-000</v>
      </c>
      <c r="N367" t="s">
        <v>1139</v>
      </c>
      <c r="O367" t="str">
        <f>IFERROR(VLOOKUP(Table2[[#This Row],[Atasan]],Table2[[#All],[Hierarchy]:[Kode Posisi]],2,FALSE),"")</f>
        <v>70-00-000-000</v>
      </c>
      <c r="P367" t="s">
        <v>27</v>
      </c>
      <c r="S367" t="str">
        <f>IFERROR(VLOOKUP(Table2[[#This Row],[ID Karyawan]],[1]!Table4[[#All],[Nik]:[Placement]],37,FALSE),"")</f>
        <v/>
      </c>
      <c r="T367" t="s">
        <v>41</v>
      </c>
      <c r="U367" t="s">
        <v>41</v>
      </c>
      <c r="V367" t="s">
        <v>1159</v>
      </c>
    </row>
    <row r="368" spans="1:22">
      <c r="A368" t="s">
        <v>1160</v>
      </c>
      <c r="B368" t="s">
        <v>1161</v>
      </c>
      <c r="C368" s="9">
        <v>25342</v>
      </c>
      <c r="D368">
        <f ca="1">IF(Table2[[#This Row],[Tgl Lahir]]="","Unknown",DATEDIF(Table2[[#This Row],[Tgl Lahir]],TODAY(),"Y"))</f>
        <v>57</v>
      </c>
      <c r="E368" s="9">
        <v>33905</v>
      </c>
      <c r="F368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33 tahun 11 bulan</v>
      </c>
      <c r="G368" t="s">
        <v>702</v>
      </c>
      <c r="H368" t="s">
        <v>1139</v>
      </c>
      <c r="I368" t="s">
        <v>1158</v>
      </c>
      <c r="J368" t="s">
        <v>1162</v>
      </c>
      <c r="L368" t="str">
        <f>_xlfn.TEXTJOIN("/",TRUE,Table2[[#This Row],[Departemen]:[Unit]])</f>
        <v>Finance &amp; Accounting/Accounting &amp; Tax/General Accounting &amp; Reporting</v>
      </c>
      <c r="M368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70-14-022-000</v>
      </c>
      <c r="N368" t="s">
        <v>1163</v>
      </c>
      <c r="O368" t="str">
        <f>IFERROR(VLOOKUP(Table2[[#This Row],[Atasan]],Table2[[#All],[Hierarchy]:[Kode Posisi]],2,FALSE),"")</f>
        <v>70-14-000-000</v>
      </c>
      <c r="P368" t="s">
        <v>27</v>
      </c>
      <c r="S368" t="str">
        <f>IFERROR(VLOOKUP(Table2[[#This Row],[ID Karyawan]],[1]!Table4[[#All],[Nik]:[Placement]],37,FALSE),"")</f>
        <v/>
      </c>
      <c r="T368" t="s">
        <v>41</v>
      </c>
      <c r="U368" t="s">
        <v>1164</v>
      </c>
      <c r="V368" t="s">
        <v>1165</v>
      </c>
    </row>
    <row r="369" spans="1:22">
      <c r="A369" t="s">
        <v>1166</v>
      </c>
      <c r="B369" t="s">
        <v>1167</v>
      </c>
      <c r="C369" s="9">
        <v>35751</v>
      </c>
      <c r="D369">
        <f ca="1">IF(Table2[[#This Row],[Tgl Lahir]]="","Unknown",DATEDIF(Table2[[#This Row],[Tgl Lahir]],TODAY(),"Y"))</f>
        <v>28</v>
      </c>
      <c r="E369" s="9">
        <v>44270</v>
      </c>
      <c r="F369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5 tahun 6 bulan</v>
      </c>
      <c r="G369" t="s">
        <v>702</v>
      </c>
      <c r="H369" t="s">
        <v>1139</v>
      </c>
      <c r="I369" t="s">
        <v>1158</v>
      </c>
      <c r="J369" t="s">
        <v>1162</v>
      </c>
      <c r="L369" t="str">
        <f>_xlfn.TEXTJOIN("/",TRUE,Table2[[#This Row],[Departemen]:[Unit]])</f>
        <v>Finance &amp; Accounting/Accounting &amp; Tax/General Accounting &amp; Reporting</v>
      </c>
      <c r="M369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70-14-022-000</v>
      </c>
      <c r="N369" t="s">
        <v>1163</v>
      </c>
      <c r="O369" t="str">
        <f>IFERROR(VLOOKUP(Table2[[#This Row],[Atasan]],Table2[[#All],[Hierarchy]:[Kode Posisi]],2,FALSE),"")</f>
        <v>70-14-000-000</v>
      </c>
      <c r="P369" t="s">
        <v>27</v>
      </c>
      <c r="S369" t="str">
        <f>IFERROR(VLOOKUP(Table2[[#This Row],[ID Karyawan]],[1]!Table4[[#All],[Nik]:[Placement]],37,FALSE),"")</f>
        <v/>
      </c>
      <c r="T369" t="s">
        <v>41</v>
      </c>
      <c r="U369" t="s">
        <v>704</v>
      </c>
      <c r="V369" t="s">
        <v>847</v>
      </c>
    </row>
    <row r="370" spans="1:22">
      <c r="A370" t="s">
        <v>1168</v>
      </c>
      <c r="B370" t="s">
        <v>1169</v>
      </c>
      <c r="C370" s="9">
        <v>35329</v>
      </c>
      <c r="D370">
        <f ca="1">IF(Table2[[#This Row],[Tgl Lahir]]="","Unknown",DATEDIF(Table2[[#This Row],[Tgl Lahir]],TODAY(),"Y"))</f>
        <v>30</v>
      </c>
      <c r="E370" s="9">
        <v>46174</v>
      </c>
      <c r="F370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4 bulan</v>
      </c>
      <c r="G370" t="s">
        <v>702</v>
      </c>
      <c r="H370" t="s">
        <v>1139</v>
      </c>
      <c r="I370" t="s">
        <v>1158</v>
      </c>
      <c r="J370" t="s">
        <v>1170</v>
      </c>
      <c r="L370" t="str">
        <f>_xlfn.TEXTJOIN("/",TRUE,Table2[[#This Row],[Departemen]:[Unit]])</f>
        <v>Finance &amp; Accounting/Accounting &amp; Tax/Costing, Inventory &amp; Tax</v>
      </c>
      <c r="M370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70-14-023-000</v>
      </c>
      <c r="N370" t="s">
        <v>1163</v>
      </c>
      <c r="O370" t="str">
        <f>IFERROR(VLOOKUP(Table2[[#This Row],[Atasan]],Table2[[#All],[Hierarchy]:[Kode Posisi]],2,FALSE),"")</f>
        <v>70-14-000-000</v>
      </c>
      <c r="P370" t="s">
        <v>27</v>
      </c>
      <c r="S370" t="str">
        <f>IFERROR(VLOOKUP(Table2[[#This Row],[ID Karyawan]],[1]!Table4[[#All],[Nik]:[Placement]],37,FALSE),"")</f>
        <v/>
      </c>
      <c r="T370" t="s">
        <v>41</v>
      </c>
      <c r="U370" t="s">
        <v>24</v>
      </c>
      <c r="V370" t="s">
        <v>24</v>
      </c>
    </row>
    <row r="371" spans="1:22">
      <c r="A371" t="s">
        <v>1171</v>
      </c>
      <c r="B371" t="s">
        <v>1172</v>
      </c>
      <c r="C371" s="9">
        <v>25275</v>
      </c>
      <c r="D371">
        <f ca="1">IF(Table2[[#This Row],[Tgl Lahir]]="","Unknown",DATEDIF(Table2[[#This Row],[Tgl Lahir]],TODAY(),"Y"))</f>
        <v>57</v>
      </c>
      <c r="E371" s="9">
        <v>33703</v>
      </c>
      <c r="F371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34 tahun 6 bulan</v>
      </c>
      <c r="G371" t="s">
        <v>702</v>
      </c>
      <c r="H371" t="s">
        <v>1139</v>
      </c>
      <c r="I371" t="s">
        <v>1158</v>
      </c>
      <c r="J371" t="s">
        <v>1170</v>
      </c>
      <c r="L371" t="str">
        <f>_xlfn.TEXTJOIN("/",TRUE,Table2[[#This Row],[Departemen]:[Unit]])</f>
        <v>Finance &amp; Accounting/Accounting &amp; Tax/Costing, Inventory &amp; Tax</v>
      </c>
      <c r="M371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70-14-023-000</v>
      </c>
      <c r="N371" t="s">
        <v>1163</v>
      </c>
      <c r="O371" t="str">
        <f>IFERROR(VLOOKUP(Table2[[#This Row],[Atasan]],Table2[[#All],[Hierarchy]:[Kode Posisi]],2,FALSE),"")</f>
        <v>70-14-000-000</v>
      </c>
      <c r="P371" t="s">
        <v>27</v>
      </c>
      <c r="S371" t="str">
        <f>IFERROR(VLOOKUP(Table2[[#This Row],[ID Karyawan]],[1]!Table4[[#All],[Nik]:[Placement]],37,FALSE),"")</f>
        <v/>
      </c>
      <c r="T371" t="s">
        <v>41</v>
      </c>
      <c r="U371" t="s">
        <v>1173</v>
      </c>
      <c r="V371" t="s">
        <v>1174</v>
      </c>
    </row>
    <row r="372" spans="1:22">
      <c r="A372" t="s">
        <v>1175</v>
      </c>
      <c r="B372" t="s">
        <v>1176</v>
      </c>
      <c r="C372" s="9">
        <v>27588</v>
      </c>
      <c r="D372">
        <f ca="1">IF(Table2[[#This Row],[Tgl Lahir]]="","Unknown",DATEDIF(Table2[[#This Row],[Tgl Lahir]],TODAY(),"Y"))</f>
        <v>51</v>
      </c>
      <c r="E372" s="9">
        <v>35835</v>
      </c>
      <c r="F372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28 tahun 8 bulan</v>
      </c>
      <c r="G372" t="s">
        <v>67</v>
      </c>
      <c r="H372" t="s">
        <v>1139</v>
      </c>
      <c r="I372" t="s">
        <v>1177</v>
      </c>
      <c r="L372" t="str">
        <f>_xlfn.TEXTJOIN("/",TRUE,Table2[[#This Row],[Departemen]:[Unit]])</f>
        <v>Finance &amp; Accounting/Information Technology</v>
      </c>
      <c r="M372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70-15-000-000</v>
      </c>
      <c r="N372" t="s">
        <v>1139</v>
      </c>
      <c r="O372" t="str">
        <f>IFERROR(VLOOKUP(Table2[[#This Row],[Atasan]],Table2[[#All],[Hierarchy]:[Kode Posisi]],2,FALSE),"")</f>
        <v>70-00-000-000</v>
      </c>
      <c r="P372" t="s">
        <v>27</v>
      </c>
      <c r="S372" t="str">
        <f>IFERROR(VLOOKUP(Table2[[#This Row],[ID Karyawan]],[1]!Table4[[#All],[Nik]:[Placement]],37,FALSE),"")</f>
        <v/>
      </c>
      <c r="T372" t="s">
        <v>41</v>
      </c>
      <c r="U372" t="s">
        <v>1178</v>
      </c>
      <c r="V372" t="s">
        <v>1179</v>
      </c>
    </row>
    <row r="373" spans="1:22">
      <c r="A373" t="s">
        <v>1180</v>
      </c>
      <c r="B373" t="s">
        <v>1181</v>
      </c>
      <c r="C373" s="9">
        <v>26880</v>
      </c>
      <c r="D373">
        <f ca="1">IF(Table2[[#This Row],[Tgl Lahir]]="","Unknown",DATEDIF(Table2[[#This Row],[Tgl Lahir]],TODAY(),"Y"))</f>
        <v>53</v>
      </c>
      <c r="E373" s="9">
        <v>35441</v>
      </c>
      <c r="F373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9 bulan</v>
      </c>
      <c r="G373" t="s">
        <v>71</v>
      </c>
      <c r="H373" t="s">
        <v>1139</v>
      </c>
      <c r="I373" t="s">
        <v>1177</v>
      </c>
      <c r="J373" t="s">
        <v>1177</v>
      </c>
      <c r="L373" t="str">
        <f>_xlfn.TEXTJOIN("/",TRUE,Table2[[#This Row],[Departemen]:[Unit]])</f>
        <v>Finance &amp; Accounting/Information Technology/Information Technology</v>
      </c>
      <c r="M373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70-15-024-000</v>
      </c>
      <c r="N373" t="s">
        <v>1182</v>
      </c>
      <c r="O373" t="str">
        <f>IFERROR(VLOOKUP(Table2[[#This Row],[Atasan]],Table2[[#All],[Hierarchy]:[Kode Posisi]],2,FALSE),"")</f>
        <v>70-15-000-000</v>
      </c>
      <c r="P373" t="s">
        <v>27</v>
      </c>
      <c r="S373" t="str">
        <f>IFERROR(VLOOKUP(Table2[[#This Row],[ID Karyawan]],[1]!Table4[[#All],[Nik]:[Placement]],37,FALSE),"")</f>
        <v/>
      </c>
      <c r="T373" t="s">
        <v>41</v>
      </c>
      <c r="U373">
        <v>0</v>
      </c>
      <c r="V373">
        <v>0</v>
      </c>
    </row>
    <row r="374" spans="1:22">
      <c r="A374" t="s">
        <v>1183</v>
      </c>
      <c r="B374" t="s">
        <v>1184</v>
      </c>
      <c r="C374" s="9">
        <v>37769</v>
      </c>
      <c r="D374">
        <f ca="1">IF(Table2[[#This Row],[Tgl Lahir]]="","Unknown",DATEDIF(Table2[[#This Row],[Tgl Lahir]],TODAY(),"Y"))</f>
        <v>23</v>
      </c>
      <c r="E374" s="9">
        <v>46107</v>
      </c>
      <c r="F374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6 bulan</v>
      </c>
      <c r="G374" t="s">
        <v>540</v>
      </c>
      <c r="H374" t="s">
        <v>1139</v>
      </c>
      <c r="I374" t="s">
        <v>1177</v>
      </c>
      <c r="J374" t="s">
        <v>1177</v>
      </c>
      <c r="K374" t="s">
        <v>1185</v>
      </c>
      <c r="L374" t="str">
        <f>_xlfn.TEXTJOIN("/",TRUE,Table2[[#This Row],[Departemen]:[Unit]])</f>
        <v>Finance &amp; Accounting/Information Technology/Information Technology/IT Support &amp; Operation</v>
      </c>
      <c r="M374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70-15-024-055</v>
      </c>
      <c r="N374" t="s">
        <v>1186</v>
      </c>
      <c r="O374" t="str">
        <f>IFERROR(VLOOKUP(Table2[[#This Row],[Atasan]],Table2[[#All],[Hierarchy]:[Kode Posisi]],2,FALSE),"")</f>
        <v>70-15-024-000</v>
      </c>
      <c r="P374" t="s">
        <v>27</v>
      </c>
      <c r="S374" t="str">
        <f>IFERROR(VLOOKUP(Table2[[#This Row],[ID Karyawan]],[1]!Table4[[#All],[Nik]:[Placement]],37,FALSE),"")</f>
        <v/>
      </c>
      <c r="T374" t="s">
        <v>41</v>
      </c>
      <c r="U374" t="s">
        <v>24</v>
      </c>
      <c r="V374" t="s">
        <v>24</v>
      </c>
    </row>
    <row r="375" spans="1:22">
      <c r="A375" t="s">
        <v>1187</v>
      </c>
      <c r="B375" t="s">
        <v>1188</v>
      </c>
      <c r="C375" s="9">
        <v>19540</v>
      </c>
      <c r="D375">
        <f ca="1">IF(Table2[[#This Row],[Tgl Lahir]]="","Unknown",DATEDIF(Table2[[#This Row],[Tgl Lahir]],TODAY(),"Y"))</f>
        <v>73</v>
      </c>
      <c r="E375" s="9">
        <v>35431</v>
      </c>
      <c r="F375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29 tahun 9 bulan</v>
      </c>
      <c r="G375" t="s">
        <v>60</v>
      </c>
      <c r="H375" t="s">
        <v>1189</v>
      </c>
      <c r="L375" t="str">
        <f>_xlfn.TEXTJOIN("/",TRUE,Table2[[#This Row],[Departemen]:[Unit]])</f>
        <v>Sales &amp; Marketing</v>
      </c>
      <c r="M375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90-00-000-000</v>
      </c>
      <c r="N375" t="s">
        <v>40</v>
      </c>
      <c r="O375" t="str">
        <f>IFERROR(VLOOKUP(Table2[[#This Row],[Atasan]],Table2[[#All],[Hierarchy]:[Kode Posisi]],2,FALSE),"")</f>
        <v>02-00-000-000</v>
      </c>
      <c r="P375" t="s">
        <v>27</v>
      </c>
      <c r="S375" t="str">
        <f>IFERROR(VLOOKUP(Table2[[#This Row],[ID Karyawan]],[1]!Table4[[#All],[Nik]:[Placement]],37,FALSE),"")</f>
        <v/>
      </c>
      <c r="T375" t="s">
        <v>41</v>
      </c>
      <c r="U375" t="s">
        <v>24</v>
      </c>
      <c r="V375" t="s">
        <v>24</v>
      </c>
    </row>
    <row r="376" spans="1:22">
      <c r="A376" t="s">
        <v>1190</v>
      </c>
      <c r="B376" t="s">
        <v>1191</v>
      </c>
      <c r="C376" s="9">
        <v>33923</v>
      </c>
      <c r="D376">
        <f ca="1">IF(Table2[[#This Row],[Tgl Lahir]]="","Unknown",DATEDIF(Table2[[#This Row],[Tgl Lahir]],TODAY(),"Y"))</f>
        <v>33</v>
      </c>
      <c r="E376" s="9">
        <v>45293</v>
      </c>
      <c r="F376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 tahun 9 bulan</v>
      </c>
      <c r="G376" t="s">
        <v>551</v>
      </c>
      <c r="H376" t="s">
        <v>1189</v>
      </c>
      <c r="I376" t="s">
        <v>1192</v>
      </c>
      <c r="L376" t="str">
        <f>_xlfn.TEXTJOIN("/",TRUE,Table2[[#This Row],[Departemen]:[Unit]])</f>
        <v>Sales &amp; Marketing/Domestic Sales &amp; Marketing</v>
      </c>
      <c r="M376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90-01-000-000</v>
      </c>
      <c r="N376" t="s">
        <v>1189</v>
      </c>
      <c r="O376" t="str">
        <f>IFERROR(VLOOKUP(Table2[[#This Row],[Atasan]],Table2[[#All],[Hierarchy]:[Kode Posisi]],2,FALSE),"")</f>
        <v>90-00-000-000</v>
      </c>
      <c r="P376" t="s">
        <v>27</v>
      </c>
      <c r="S376" t="str">
        <f>IFERROR(VLOOKUP(Table2[[#This Row],[ID Karyawan]],[1]!Table4[[#All],[Nik]:[Placement]],37,FALSE),"")</f>
        <v/>
      </c>
      <c r="T376" t="s">
        <v>41</v>
      </c>
      <c r="U376" t="s">
        <v>1193</v>
      </c>
      <c r="V376" t="s">
        <v>1194</v>
      </c>
    </row>
    <row r="377" spans="1:22">
      <c r="A377" t="s">
        <v>1195</v>
      </c>
      <c r="B377" t="s">
        <v>1196</v>
      </c>
      <c r="C377" s="9">
        <v>36878</v>
      </c>
      <c r="D377">
        <f ca="1">IF(Table2[[#This Row],[Tgl Lahir]]="","Unknown",DATEDIF(Table2[[#This Row],[Tgl Lahir]],TODAY(),"Y"))</f>
        <v>25</v>
      </c>
      <c r="E377" s="9">
        <v>45992</v>
      </c>
      <c r="F377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10 bulan</v>
      </c>
      <c r="G377" t="s">
        <v>970</v>
      </c>
      <c r="H377" t="s">
        <v>1189</v>
      </c>
      <c r="I377" t="s">
        <v>1192</v>
      </c>
      <c r="J377" t="s">
        <v>1197</v>
      </c>
      <c r="L377" t="str">
        <f>_xlfn.TEXTJOIN("/",TRUE,Table2[[#This Row],[Departemen]:[Unit]])</f>
        <v>Sales &amp; Marketing/Domestic Sales &amp; Marketing/Sales Team</v>
      </c>
      <c r="M377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90-01-025-000</v>
      </c>
      <c r="N377" t="s">
        <v>1198</v>
      </c>
      <c r="O377" t="str">
        <f>IFERROR(VLOOKUP(Table2[[#This Row],[Atasan]],Table2[[#All],[Hierarchy]:[Kode Posisi]],2,FALSE),"")</f>
        <v>90-01-000-000</v>
      </c>
      <c r="P377" t="s">
        <v>27</v>
      </c>
      <c r="S377" t="str">
        <f>IFERROR(VLOOKUP(Table2[[#This Row],[ID Karyawan]],[1]!Table4[[#All],[Nik]:[Placement]],37,FALSE),"")</f>
        <v/>
      </c>
      <c r="T377" t="s">
        <v>41</v>
      </c>
      <c r="U377" t="s">
        <v>24</v>
      </c>
      <c r="V377" t="s">
        <v>24</v>
      </c>
    </row>
    <row r="378" spans="1:22">
      <c r="A378" t="s">
        <v>1199</v>
      </c>
      <c r="B378" t="s">
        <v>1200</v>
      </c>
      <c r="C378" s="9">
        <v>36674</v>
      </c>
      <c r="D378">
        <f ca="1">IF(Table2[[#This Row],[Tgl Lahir]]="","Unknown",DATEDIF(Table2[[#This Row],[Tgl Lahir]],TODAY(),"Y"))</f>
        <v>26</v>
      </c>
      <c r="E378" s="9">
        <v>45476</v>
      </c>
      <c r="F378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 tahun 3 bulan</v>
      </c>
      <c r="G378" t="s">
        <v>540</v>
      </c>
      <c r="H378" t="s">
        <v>1189</v>
      </c>
      <c r="I378" t="s">
        <v>1192</v>
      </c>
      <c r="J378" t="s">
        <v>1201</v>
      </c>
      <c r="L378" t="str">
        <f>_xlfn.TEXTJOIN("/",TRUE,Table2[[#This Row],[Departemen]:[Unit]])</f>
        <v>Sales &amp; Marketing/Domestic Sales &amp; Marketing/Marketing Support</v>
      </c>
      <c r="M378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90-01-026-000</v>
      </c>
      <c r="N378" t="s">
        <v>1198</v>
      </c>
      <c r="O378" t="str">
        <f>IFERROR(VLOOKUP(Table2[[#This Row],[Atasan]],Table2[[#All],[Hierarchy]:[Kode Posisi]],2,FALSE),"")</f>
        <v>90-01-000-000</v>
      </c>
      <c r="P378" t="s">
        <v>27</v>
      </c>
      <c r="S378" t="str">
        <f>IFERROR(VLOOKUP(Table2[[#This Row],[ID Karyawan]],[1]!Table4[[#All],[Nik]:[Placement]],37,FALSE),"")</f>
        <v/>
      </c>
      <c r="T378" t="s">
        <v>41</v>
      </c>
      <c r="U378" t="s">
        <v>24</v>
      </c>
      <c r="V378" t="s">
        <v>24</v>
      </c>
    </row>
    <row r="379" spans="1:22">
      <c r="A379" t="s">
        <v>1202</v>
      </c>
      <c r="B379" t="s">
        <v>1203</v>
      </c>
      <c r="C379" s="9">
        <v>34009</v>
      </c>
      <c r="D379">
        <f ca="1">IF(Table2[[#This Row],[Tgl Lahir]]="","Unknown",DATEDIF(Table2[[#This Row],[Tgl Lahir]],TODAY(),"Y"))</f>
        <v>33</v>
      </c>
      <c r="E379" s="9">
        <v>45449</v>
      </c>
      <c r="F379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 tahun 4 bulan</v>
      </c>
      <c r="G379" t="s">
        <v>551</v>
      </c>
      <c r="H379" t="s">
        <v>1189</v>
      </c>
      <c r="I379" t="s">
        <v>1204</v>
      </c>
      <c r="L379" t="str">
        <f>_xlfn.TEXTJOIN("/",TRUE,Table2[[#This Row],[Departemen]:[Unit]])</f>
        <v>Sales &amp; Marketing/International Sales &amp; Marketing</v>
      </c>
      <c r="M379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90-02-000-000</v>
      </c>
      <c r="N379" t="s">
        <v>1189</v>
      </c>
      <c r="O379" t="str">
        <f>IFERROR(VLOOKUP(Table2[[#This Row],[Atasan]],Table2[[#All],[Hierarchy]:[Kode Posisi]],2,FALSE),"")</f>
        <v>90-00-000-000</v>
      </c>
      <c r="P379" t="s">
        <v>27</v>
      </c>
      <c r="S379" t="str">
        <f>IFERROR(VLOOKUP(Table2[[#This Row],[ID Karyawan]],[1]!Table4[[#All],[Nik]:[Placement]],37,FALSE),"")</f>
        <v/>
      </c>
      <c r="T379" t="s">
        <v>41</v>
      </c>
      <c r="U379" t="s">
        <v>1205</v>
      </c>
      <c r="V379" t="s">
        <v>856</v>
      </c>
    </row>
    <row r="380" spans="1:22">
      <c r="A380" t="s">
        <v>1206</v>
      </c>
      <c r="B380" t="s">
        <v>1207</v>
      </c>
      <c r="C380" s="9">
        <v>37320</v>
      </c>
      <c r="D380">
        <f ca="1">IF(Table2[[#This Row],[Tgl Lahir]]="","Unknown",DATEDIF(Table2[[#This Row],[Tgl Lahir]],TODAY(),"Y"))</f>
        <v>24</v>
      </c>
      <c r="E380" s="9">
        <v>45775</v>
      </c>
      <c r="F380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 tahun 5 bulan</v>
      </c>
      <c r="G380" t="s">
        <v>970</v>
      </c>
      <c r="H380" t="s">
        <v>1189</v>
      </c>
      <c r="I380" t="s">
        <v>1204</v>
      </c>
      <c r="J380" t="s">
        <v>1197</v>
      </c>
      <c r="L380" t="str">
        <f>_xlfn.TEXTJOIN("/",TRUE,Table2[[#This Row],[Departemen]:[Unit]])</f>
        <v>Sales &amp; Marketing/International Sales &amp; Marketing/Sales Team</v>
      </c>
      <c r="M380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90-02-025-000</v>
      </c>
      <c r="N380" t="s">
        <v>1208</v>
      </c>
      <c r="O380" t="str">
        <f>IFERROR(VLOOKUP(Table2[[#This Row],[Atasan]],Table2[[#All],[Hierarchy]:[Kode Posisi]],2,FALSE),"")</f>
        <v>90-02-000-000</v>
      </c>
      <c r="P380" t="s">
        <v>27</v>
      </c>
      <c r="S380" t="str">
        <f>IFERROR(VLOOKUP(Table2[[#This Row],[ID Karyawan]],[1]!Table4[[#All],[Nik]:[Placement]],37,FALSE),"")</f>
        <v/>
      </c>
      <c r="T380" t="s">
        <v>41</v>
      </c>
      <c r="U380" t="s">
        <v>24</v>
      </c>
      <c r="V380" t="s">
        <v>24</v>
      </c>
    </row>
    <row r="381" spans="1:22">
      <c r="A381" t="s">
        <v>1209</v>
      </c>
      <c r="B381" t="s">
        <v>1210</v>
      </c>
      <c r="C381" s="9">
        <v>37056</v>
      </c>
      <c r="D381">
        <f ca="1">IF(Table2[[#This Row],[Tgl Lahir]]="","Unknown",DATEDIF(Table2[[#This Row],[Tgl Lahir]],TODAY(),"Y"))</f>
        <v>25</v>
      </c>
      <c r="E381" s="9">
        <v>46027</v>
      </c>
      <c r="F381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9 bulan</v>
      </c>
      <c r="G381" t="s">
        <v>702</v>
      </c>
      <c r="H381" t="s">
        <v>1189</v>
      </c>
      <c r="I381" t="s">
        <v>1204</v>
      </c>
      <c r="J381" t="s">
        <v>1201</v>
      </c>
      <c r="L381" t="str">
        <f>_xlfn.TEXTJOIN("/",TRUE,Table2[[#This Row],[Departemen]:[Unit]])</f>
        <v>Sales &amp; Marketing/International Sales &amp; Marketing/Marketing Support</v>
      </c>
      <c r="M381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90-02-026-000</v>
      </c>
      <c r="N381" t="s">
        <v>1208</v>
      </c>
      <c r="O381" t="str">
        <f>IFERROR(VLOOKUP(Table2[[#This Row],[Atasan]],Table2[[#All],[Hierarchy]:[Kode Posisi]],2,FALSE),"")</f>
        <v>90-02-000-000</v>
      </c>
      <c r="P381" t="s">
        <v>27</v>
      </c>
      <c r="S381" t="str">
        <f>IFERROR(VLOOKUP(Table2[[#This Row],[ID Karyawan]],[1]!Table4[[#All],[Nik]:[Placement]],37,FALSE),"")</f>
        <v/>
      </c>
      <c r="T381" t="s">
        <v>41</v>
      </c>
      <c r="U381" t="s">
        <v>24</v>
      </c>
      <c r="V381" t="s">
        <v>24</v>
      </c>
    </row>
    <row r="382" spans="1:22">
      <c r="A382" t="s">
        <v>1190</v>
      </c>
      <c r="B382" t="s">
        <v>1191</v>
      </c>
      <c r="C382" s="9">
        <v>33923</v>
      </c>
      <c r="D382">
        <f ca="1">IF(Table2[[#This Row],[Tgl Lahir]]="","Unknown",DATEDIF(Table2[[#This Row],[Tgl Lahir]],TODAY(),"Y"))</f>
        <v>33</v>
      </c>
      <c r="E382" s="9">
        <v>45293</v>
      </c>
      <c r="F382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 tahun 9 bulan</v>
      </c>
      <c r="G382" t="s">
        <v>551</v>
      </c>
      <c r="H382" t="s">
        <v>1189</v>
      </c>
      <c r="I382" t="s">
        <v>1211</v>
      </c>
      <c r="L382" t="str">
        <f>_xlfn.TEXTJOIN("/",TRUE,Table2[[#This Row],[Departemen]:[Unit]])</f>
        <v>Sales &amp; Marketing/International Sales &amp; Marketing (Far East)</v>
      </c>
      <c r="M382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90-03-000-000</v>
      </c>
      <c r="N382" t="s">
        <v>1189</v>
      </c>
      <c r="O382" t="str">
        <f>IFERROR(VLOOKUP(Table2[[#This Row],[Atasan]],Table2[[#All],[Hierarchy]:[Kode Posisi]],2,FALSE),"")</f>
        <v>90-00-000-000</v>
      </c>
      <c r="P382" t="s">
        <v>62</v>
      </c>
      <c r="S382" t="str">
        <f>IFERROR(VLOOKUP(Table2[[#This Row],[ID Karyawan]],[1]!Table4[[#All],[Nik]:[Placement]],37,FALSE),"")</f>
        <v/>
      </c>
      <c r="T382" t="s">
        <v>41</v>
      </c>
      <c r="U382" t="s">
        <v>1193</v>
      </c>
      <c r="V382" t="s">
        <v>1194</v>
      </c>
    </row>
    <row r="383" spans="1:22">
      <c r="A383" t="s">
        <v>1199</v>
      </c>
      <c r="B383" t="s">
        <v>1200</v>
      </c>
      <c r="C383" s="9">
        <v>36674</v>
      </c>
      <c r="D383">
        <f ca="1">IF(Table2[[#This Row],[Tgl Lahir]]="","Unknown",DATEDIF(Table2[[#This Row],[Tgl Lahir]],TODAY(),"Y"))</f>
        <v>26</v>
      </c>
      <c r="E383" s="9">
        <v>45476</v>
      </c>
      <c r="F383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2 tahun 3 bulan</v>
      </c>
      <c r="G383" t="s">
        <v>540</v>
      </c>
      <c r="H383" t="s">
        <v>1189</v>
      </c>
      <c r="I383" t="s">
        <v>1211</v>
      </c>
      <c r="J383" t="s">
        <v>1201</v>
      </c>
      <c r="L383" t="str">
        <f>_xlfn.TEXTJOIN("/",TRUE,Table2[[#This Row],[Departemen]:[Unit]])</f>
        <v>Sales &amp; Marketing/International Sales &amp; Marketing (Far East)/Marketing Support</v>
      </c>
      <c r="M383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90-03-026-000</v>
      </c>
      <c r="N383" t="s">
        <v>1212</v>
      </c>
      <c r="O383" t="str">
        <f>IFERROR(VLOOKUP(Table2[[#This Row],[Atasan]],Table2[[#All],[Hierarchy]:[Kode Posisi]],2,FALSE),"")</f>
        <v>90-03-000-000</v>
      </c>
      <c r="P383" t="s">
        <v>62</v>
      </c>
      <c r="S383" t="str">
        <f>IFERROR(VLOOKUP(Table2[[#This Row],[ID Karyawan]],[1]!Table4[[#All],[Nik]:[Placement]],37,FALSE),"")</f>
        <v/>
      </c>
      <c r="T383" t="s">
        <v>41</v>
      </c>
      <c r="U383" t="s">
        <v>24</v>
      </c>
      <c r="V383" t="s">
        <v>24</v>
      </c>
    </row>
    <row r="384" spans="1:22">
      <c r="A384" t="s">
        <v>1213</v>
      </c>
      <c r="B384" t="s">
        <v>1214</v>
      </c>
      <c r="C384" s="9">
        <v>37312</v>
      </c>
      <c r="D384">
        <f ca="1">IF(Table2[[#This Row],[Tgl Lahir]]="","Unknown",DATEDIF(Table2[[#This Row],[Tgl Lahir]],TODAY(),"Y"))</f>
        <v>24</v>
      </c>
      <c r="E384" s="9">
        <v>45600</v>
      </c>
      <c r="F384" t="str">
        <f ca="1">IF(Table2[[#This Row],[Tgl Join]]="","",IF(DATEDIF(Table2[[#This Row],[Tgl Join]],TODAY(),"Y")=0,DATEDIF(Table2[[#This Row],[Tgl Join]],TODAY(),"YM")&amp;" bulan",DATEDIF(Table2[[#This Row],[Tgl Join]],TODAY(),"Y")&amp;" tahun "&amp;DATEDIF(Table2[[#This Row],[Tgl Join]],TODAY(),"YM")&amp;" bulan"))</f>
        <v>1 tahun 11 bulan</v>
      </c>
      <c r="G384" t="s">
        <v>523</v>
      </c>
      <c r="H384" t="s">
        <v>61</v>
      </c>
      <c r="I384" t="s">
        <v>68</v>
      </c>
      <c r="J384" t="s">
        <v>403</v>
      </c>
      <c r="K384" t="s">
        <v>1215</v>
      </c>
      <c r="L384" t="str">
        <f>_xlfn.TEXTJOIN("/",TRUE,Table2[[#This Row],[Departemen]:[Unit]])</f>
        <v>Production &amp; Engineering/Production/Packing/Packing Administration</v>
      </c>
      <c r="M384" t="str">
        <f>IFERROR(VLOOKUP(Table2[[#This Row],[Departemen]],Table3[#All],2,FALSE),"00")&amp;"-"&amp;
IFERROR(VLOOKUP(Table2[[#This Row],[Sub-Departemen]],Table4[#All],2,FALSE),"00")&amp;"-"&amp;
IFERROR(VLOOKUP(Table2[[#This Row],[Section]],Table5[#All],2,FALSE),"000")&amp;"-"&amp;
IFERROR(VLOOKUP(Table2[[#This Row],[Unit]],Table6[#All],2,FALSE),"000")</f>
        <v>20-04-003-056</v>
      </c>
      <c r="N384" t="s">
        <v>407</v>
      </c>
      <c r="O384" t="str">
        <f>IFERROR(VLOOKUP(Table2[[#This Row],[Atasan]],Table2[[#All],[Hierarchy]:[Kode Posisi]],2,FALSE),"")</f>
        <v>20-04-003-026</v>
      </c>
      <c r="P384" t="s">
        <v>27</v>
      </c>
      <c r="S384" t="str">
        <f>IFERROR(VLOOKUP(Table2[[#This Row],[ID Karyawan]],[1]!Table4[[#All],[Nik]:[Placement]],37,FALSE),"")</f>
        <v/>
      </c>
      <c r="T384" t="s">
        <v>41</v>
      </c>
      <c r="U384" t="s">
        <v>24</v>
      </c>
      <c r="V384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28AB1-3439-4966-942B-625E03DF0AA8}">
  <dimension ref="A1:J356"/>
  <sheetViews>
    <sheetView topLeftCell="A123" zoomScale="85" zoomScaleNormal="85" workbookViewId="0">
      <selection activeCell="B109" sqref="B109"/>
    </sheetView>
  </sheetViews>
  <sheetFormatPr defaultRowHeight="15"/>
  <cols>
    <col min="1" max="1" width="14.140625" style="1" bestFit="1" customWidth="1"/>
    <col min="2" max="2" width="29.85546875" bestFit="1" customWidth="1"/>
    <col min="3" max="3" width="18.5703125" customWidth="1"/>
    <col min="4" max="4" width="23.5703125" customWidth="1"/>
    <col min="5" max="5" width="34.140625" customWidth="1"/>
    <col min="6" max="6" width="23" customWidth="1"/>
    <col min="7" max="7" width="27.28515625" bestFit="1" customWidth="1"/>
    <col min="8" max="8" width="13.7109375" bestFit="1" customWidth="1"/>
    <col min="9" max="9" width="20.5703125" bestFit="1" customWidth="1"/>
    <col min="10" max="10" width="37.140625" bestFit="1" customWidth="1"/>
  </cols>
  <sheetData>
    <row r="1" spans="1:10">
      <c r="A1" s="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12</v>
      </c>
      <c r="I1" t="s">
        <v>14</v>
      </c>
      <c r="J1" t="s">
        <v>1216</v>
      </c>
    </row>
    <row r="2" spans="1:10" hidden="1">
      <c r="A2" t="s">
        <v>63</v>
      </c>
      <c r="B2" t="s">
        <v>64</v>
      </c>
      <c r="C2" t="s">
        <v>65</v>
      </c>
      <c r="D2" t="s">
        <v>61</v>
      </c>
      <c r="H2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20-00-000-00</v>
      </c>
      <c r="I2" t="s">
        <v>1217</v>
      </c>
      <c r="J2" t="str">
        <f>VLOOKUP(Table22[[#This Row],[ID Karyawan]],[2]Sheet1!$B$4:$AC$363,13,FALSE)</f>
        <v>Manajemen</v>
      </c>
    </row>
    <row r="3" spans="1:10" hidden="1">
      <c r="A3" t="s">
        <v>66</v>
      </c>
      <c r="B3" t="s">
        <v>1218</v>
      </c>
      <c r="C3" t="s">
        <v>67</v>
      </c>
      <c r="D3" t="s">
        <v>61</v>
      </c>
      <c r="E3" t="s">
        <v>68</v>
      </c>
      <c r="H3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20-04-000-00</v>
      </c>
      <c r="I3" t="s">
        <v>1219</v>
      </c>
      <c r="J3" t="str">
        <f>VLOOKUP(Table22[[#This Row],[ID Karyawan]],[2]Sheet1!$B$4:$AC$363,13,FALSE)</f>
        <v>Produksi</v>
      </c>
    </row>
    <row r="4" spans="1:10" hidden="1">
      <c r="A4" s="2" t="s">
        <v>538</v>
      </c>
      <c r="B4" s="5" t="s">
        <v>539</v>
      </c>
      <c r="C4" t="s">
        <v>540</v>
      </c>
      <c r="D4" t="s">
        <v>61</v>
      </c>
      <c r="E4" t="s">
        <v>68</v>
      </c>
      <c r="F4" t="s">
        <v>541</v>
      </c>
      <c r="H4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20-04-027-00</v>
      </c>
      <c r="I4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20-04-027-00</v>
      </c>
      <c r="J4" t="str">
        <f>VLOOKUP(Table22[[#This Row],[ID Karyawan]],[2]Sheet1!$B$4:$AC$363,13,FALSE)</f>
        <v>Produksi</v>
      </c>
    </row>
    <row r="5" spans="1:10" hidden="1">
      <c r="A5" s="2" t="s">
        <v>544</v>
      </c>
      <c r="B5" s="5" t="s">
        <v>545</v>
      </c>
      <c r="C5" t="s">
        <v>540</v>
      </c>
      <c r="D5" t="s">
        <v>61</v>
      </c>
      <c r="E5" t="s">
        <v>68</v>
      </c>
      <c r="F5" t="s">
        <v>541</v>
      </c>
      <c r="H5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20-04-027-00</v>
      </c>
      <c r="I5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20-04-027-00</v>
      </c>
      <c r="J5" t="str">
        <f>VLOOKUP(Table22[[#This Row],[ID Karyawan]],[2]Sheet1!$B$4:$AC$363,13,FALSE)</f>
        <v>Produksi</v>
      </c>
    </row>
    <row r="6" spans="1:10" hidden="1">
      <c r="A6" s="2" t="s">
        <v>69</v>
      </c>
      <c r="B6" s="5" t="s">
        <v>70</v>
      </c>
      <c r="C6" t="s">
        <v>71</v>
      </c>
      <c r="D6" t="s">
        <v>61</v>
      </c>
      <c r="E6" t="s">
        <v>68</v>
      </c>
      <c r="F6" t="s">
        <v>72</v>
      </c>
      <c r="H6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20-04-001-00</v>
      </c>
      <c r="I6" t="s">
        <v>1220</v>
      </c>
      <c r="J6" t="str">
        <f>VLOOKUP(Table22[[#This Row],[ID Karyawan]],[2]Sheet1!$B$4:$AC$363,13,FALSE)</f>
        <v>Produksi</v>
      </c>
    </row>
    <row r="7" spans="1:10" hidden="1">
      <c r="A7" s="2" t="s">
        <v>124</v>
      </c>
      <c r="B7" s="5" t="s">
        <v>125</v>
      </c>
      <c r="C7" t="s">
        <v>540</v>
      </c>
      <c r="D7" t="s">
        <v>61</v>
      </c>
      <c r="E7" t="s">
        <v>68</v>
      </c>
      <c r="F7" t="s">
        <v>72</v>
      </c>
      <c r="G7" t="s">
        <v>126</v>
      </c>
      <c r="H7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20-04-001-024</v>
      </c>
      <c r="I7" t="s">
        <v>1221</v>
      </c>
      <c r="J7" t="str">
        <f>VLOOKUP(Table22[[#This Row],[ID Karyawan]],[2]Sheet1!$B$4:$AC$363,13,FALSE)</f>
        <v>Produksi</v>
      </c>
    </row>
    <row r="8" spans="1:10" hidden="1">
      <c r="A8" s="2" t="s">
        <v>99</v>
      </c>
      <c r="B8" s="5" t="s">
        <v>100</v>
      </c>
      <c r="C8" t="s">
        <v>540</v>
      </c>
      <c r="D8" t="s">
        <v>61</v>
      </c>
      <c r="E8" t="s">
        <v>68</v>
      </c>
      <c r="F8" t="s">
        <v>72</v>
      </c>
      <c r="G8" t="s">
        <v>88</v>
      </c>
      <c r="H8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20-04-001-023</v>
      </c>
      <c r="I8" t="s">
        <v>1221</v>
      </c>
      <c r="J8" t="str">
        <f>VLOOKUP(Table22[[#This Row],[ID Karyawan]],[2]Sheet1!$B$4:$AC$363,13,FALSE)</f>
        <v>Produksi</v>
      </c>
    </row>
    <row r="9" spans="1:10" hidden="1">
      <c r="A9" s="2" t="s">
        <v>85</v>
      </c>
      <c r="B9" s="5" t="s">
        <v>86</v>
      </c>
      <c r="C9" t="s">
        <v>540</v>
      </c>
      <c r="D9" t="s">
        <v>61</v>
      </c>
      <c r="E9" t="s">
        <v>68</v>
      </c>
      <c r="F9" t="s">
        <v>72</v>
      </c>
      <c r="G9" t="s">
        <v>88</v>
      </c>
      <c r="H9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20-04-001-023</v>
      </c>
      <c r="I9" t="s">
        <v>1221</v>
      </c>
      <c r="J9" t="str">
        <f>VLOOKUP(Table22[[#This Row],[ID Karyawan]],[2]Sheet1!$B$4:$AC$363,13,FALSE)</f>
        <v>Produksi</v>
      </c>
    </row>
    <row r="10" spans="1:10" hidden="1">
      <c r="A10" s="2" t="s">
        <v>75</v>
      </c>
      <c r="B10" s="5" t="s">
        <v>76</v>
      </c>
      <c r="C10" t="s">
        <v>77</v>
      </c>
      <c r="D10" t="s">
        <v>61</v>
      </c>
      <c r="E10" t="s">
        <v>68</v>
      </c>
      <c r="F10" t="s">
        <v>72</v>
      </c>
      <c r="H10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20-04-001-00</v>
      </c>
      <c r="I10" t="s">
        <v>1221</v>
      </c>
      <c r="J10" t="str">
        <f>VLOOKUP(Table22[[#This Row],[ID Karyawan]],[2]Sheet1!$B$4:$AC$363,13,FALSE)</f>
        <v>Produksi</v>
      </c>
    </row>
    <row r="11" spans="1:10" hidden="1">
      <c r="A11" s="2" t="s">
        <v>102</v>
      </c>
      <c r="B11" s="5" t="s">
        <v>103</v>
      </c>
      <c r="C11" t="s">
        <v>540</v>
      </c>
      <c r="D11" t="s">
        <v>61</v>
      </c>
      <c r="E11" t="s">
        <v>68</v>
      </c>
      <c r="F11" t="s">
        <v>72</v>
      </c>
      <c r="G11" t="s">
        <v>88</v>
      </c>
      <c r="H11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20-04-001-023</v>
      </c>
      <c r="I11" t="s">
        <v>1221</v>
      </c>
      <c r="J11" t="str">
        <f>VLOOKUP(Table22[[#This Row],[ID Karyawan]],[2]Sheet1!$B$4:$AC$363,13,FALSE)</f>
        <v>Produksi</v>
      </c>
    </row>
    <row r="12" spans="1:10" hidden="1">
      <c r="A12" s="2" t="s">
        <v>91</v>
      </c>
      <c r="B12" s="5" t="s">
        <v>92</v>
      </c>
      <c r="C12" t="s">
        <v>540</v>
      </c>
      <c r="D12" t="s">
        <v>61</v>
      </c>
      <c r="E12" t="s">
        <v>68</v>
      </c>
      <c r="F12" t="s">
        <v>72</v>
      </c>
      <c r="G12" t="s">
        <v>88</v>
      </c>
      <c r="H12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20-04-001-023</v>
      </c>
      <c r="I12" t="s">
        <v>1221</v>
      </c>
      <c r="J12" t="str">
        <f>VLOOKUP(Table22[[#This Row],[ID Karyawan]],[2]Sheet1!$B$4:$AC$363,13,FALSE)</f>
        <v>Produksi</v>
      </c>
    </row>
    <row r="13" spans="1:10" hidden="1">
      <c r="A13" s="2" t="s">
        <v>105</v>
      </c>
      <c r="B13" s="5" t="s">
        <v>106</v>
      </c>
      <c r="C13" t="s">
        <v>540</v>
      </c>
      <c r="D13" t="s">
        <v>61</v>
      </c>
      <c r="E13" t="s">
        <v>68</v>
      </c>
      <c r="F13" t="s">
        <v>72</v>
      </c>
      <c r="G13" t="s">
        <v>88</v>
      </c>
      <c r="H13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20-04-001-023</v>
      </c>
      <c r="I13" t="s">
        <v>1221</v>
      </c>
      <c r="J13" t="str">
        <f>VLOOKUP(Table22[[#This Row],[ID Karyawan]],[2]Sheet1!$B$4:$AC$363,13,FALSE)</f>
        <v>Produksi</v>
      </c>
    </row>
    <row r="14" spans="1:10" hidden="1">
      <c r="A14" s="2" t="s">
        <v>128</v>
      </c>
      <c r="B14" s="5" t="s">
        <v>129</v>
      </c>
      <c r="C14" t="s">
        <v>540</v>
      </c>
      <c r="D14" t="s">
        <v>61</v>
      </c>
      <c r="E14" t="s">
        <v>68</v>
      </c>
      <c r="F14" t="s">
        <v>72</v>
      </c>
      <c r="G14" t="s">
        <v>126</v>
      </c>
      <c r="H14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20-04-001-024</v>
      </c>
      <c r="I14" t="s">
        <v>1221</v>
      </c>
      <c r="J14" t="str">
        <f>VLOOKUP(Table22[[#This Row],[ID Karyawan]],[2]Sheet1!$B$4:$AC$363,13,FALSE)</f>
        <v>Produksi</v>
      </c>
    </row>
    <row r="15" spans="1:10" hidden="1">
      <c r="A15" s="2" t="s">
        <v>81</v>
      </c>
      <c r="B15" s="5" t="s">
        <v>82</v>
      </c>
      <c r="C15" t="s">
        <v>77</v>
      </c>
      <c r="D15" t="s">
        <v>61</v>
      </c>
      <c r="E15" t="s">
        <v>68</v>
      </c>
      <c r="F15" t="s">
        <v>72</v>
      </c>
      <c r="H15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20-04-001-00</v>
      </c>
      <c r="I15" t="s">
        <v>1221</v>
      </c>
      <c r="J15" t="e">
        <f>VLOOKUP(Table22[[#This Row],[ID Karyawan]],[2]Sheet1!$B$4:$AC$363,13,FALSE)</f>
        <v>#N/A</v>
      </c>
    </row>
    <row r="16" spans="1:10" hidden="1">
      <c r="A16" s="2" t="s">
        <v>107</v>
      </c>
      <c r="B16" s="5" t="s">
        <v>108</v>
      </c>
      <c r="C16" t="s">
        <v>540</v>
      </c>
      <c r="D16" t="s">
        <v>61</v>
      </c>
      <c r="E16" t="s">
        <v>68</v>
      </c>
      <c r="F16" t="s">
        <v>72</v>
      </c>
      <c r="G16" t="s">
        <v>88</v>
      </c>
      <c r="H16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20-04-001-023</v>
      </c>
      <c r="I16" t="s">
        <v>1221</v>
      </c>
      <c r="J16" t="str">
        <f>VLOOKUP(Table22[[#This Row],[ID Karyawan]],[2]Sheet1!$B$4:$AC$363,13,FALSE)</f>
        <v>Produksi</v>
      </c>
    </row>
    <row r="17" spans="1:10" hidden="1">
      <c r="A17" s="2" t="s">
        <v>111</v>
      </c>
      <c r="B17" s="5" t="s">
        <v>112</v>
      </c>
      <c r="C17" t="s">
        <v>540</v>
      </c>
      <c r="D17" t="s">
        <v>61</v>
      </c>
      <c r="E17" t="s">
        <v>68</v>
      </c>
      <c r="F17" t="s">
        <v>72</v>
      </c>
      <c r="G17" t="s">
        <v>88</v>
      </c>
      <c r="H17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20-04-001-023</v>
      </c>
      <c r="I17" t="s">
        <v>1221</v>
      </c>
      <c r="J17" t="str">
        <f>VLOOKUP(Table22[[#This Row],[ID Karyawan]],[2]Sheet1!$B$4:$AC$363,13,FALSE)</f>
        <v>Produksi</v>
      </c>
    </row>
    <row r="18" spans="1:10" hidden="1">
      <c r="A18" s="2" t="s">
        <v>132</v>
      </c>
      <c r="B18" s="5" t="s">
        <v>133</v>
      </c>
      <c r="C18" t="s">
        <v>540</v>
      </c>
      <c r="D18" t="s">
        <v>61</v>
      </c>
      <c r="E18" t="s">
        <v>68</v>
      </c>
      <c r="F18" t="s">
        <v>72</v>
      </c>
      <c r="G18" t="s">
        <v>126</v>
      </c>
      <c r="H18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20-04-001-024</v>
      </c>
      <c r="I18" t="s">
        <v>1221</v>
      </c>
      <c r="J18" t="str">
        <f>VLOOKUP(Table22[[#This Row],[ID Karyawan]],[2]Sheet1!$B$4:$AC$363,13,FALSE)</f>
        <v>Produksi</v>
      </c>
    </row>
    <row r="19" spans="1:10" hidden="1">
      <c r="A19" s="2" t="s">
        <v>93</v>
      </c>
      <c r="B19" s="5" t="s">
        <v>94</v>
      </c>
      <c r="C19" t="s">
        <v>540</v>
      </c>
      <c r="D19" t="s">
        <v>61</v>
      </c>
      <c r="E19" t="s">
        <v>68</v>
      </c>
      <c r="F19" t="s">
        <v>72</v>
      </c>
      <c r="G19" t="s">
        <v>88</v>
      </c>
      <c r="H19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20-04-001-023</v>
      </c>
      <c r="I19" t="s">
        <v>1221</v>
      </c>
      <c r="J19" t="str">
        <f>VLOOKUP(Table22[[#This Row],[ID Karyawan]],[2]Sheet1!$B$4:$AC$363,13,FALSE)</f>
        <v>Produksi</v>
      </c>
    </row>
    <row r="20" spans="1:10" hidden="1">
      <c r="A20" s="2" t="s">
        <v>115</v>
      </c>
      <c r="B20" s="5" t="s">
        <v>116</v>
      </c>
      <c r="C20" t="s">
        <v>540</v>
      </c>
      <c r="D20" t="s">
        <v>61</v>
      </c>
      <c r="E20" t="s">
        <v>68</v>
      </c>
      <c r="F20" t="s">
        <v>72</v>
      </c>
      <c r="G20" t="s">
        <v>88</v>
      </c>
      <c r="H20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20-04-001-023</v>
      </c>
      <c r="I20" t="s">
        <v>1221</v>
      </c>
      <c r="J20" t="str">
        <f>VLOOKUP(Table22[[#This Row],[ID Karyawan]],[2]Sheet1!$B$4:$AC$363,13,FALSE)</f>
        <v>Produksi</v>
      </c>
    </row>
    <row r="21" spans="1:10" hidden="1">
      <c r="A21" s="2" t="s">
        <v>487</v>
      </c>
      <c r="B21" s="5" t="s">
        <v>488</v>
      </c>
      <c r="C21" t="s">
        <v>540</v>
      </c>
      <c r="D21" t="s">
        <v>61</v>
      </c>
      <c r="E21" t="s">
        <v>68</v>
      </c>
      <c r="F21" t="s">
        <v>72</v>
      </c>
      <c r="G21" t="s">
        <v>88</v>
      </c>
      <c r="H21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20-04-001-023</v>
      </c>
      <c r="I21" t="s">
        <v>1221</v>
      </c>
      <c r="J21" t="str">
        <f>VLOOKUP(Table22[[#This Row],[ID Karyawan]],[2]Sheet1!$B$4:$AC$363,13,FALSE)</f>
        <v>Produksi</v>
      </c>
    </row>
    <row r="22" spans="1:10" hidden="1">
      <c r="A22" s="2" t="s">
        <v>134</v>
      </c>
      <c r="B22" s="5" t="s">
        <v>135</v>
      </c>
      <c r="C22" t="s">
        <v>540</v>
      </c>
      <c r="D22" t="s">
        <v>61</v>
      </c>
      <c r="E22" t="s">
        <v>68</v>
      </c>
      <c r="F22" t="s">
        <v>72</v>
      </c>
      <c r="G22" t="s">
        <v>126</v>
      </c>
      <c r="H22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20-04-001-024</v>
      </c>
      <c r="I22" t="s">
        <v>1221</v>
      </c>
      <c r="J22" t="str">
        <f>VLOOKUP(Table22[[#This Row],[ID Karyawan]],[2]Sheet1!$B$4:$AC$363,13,FALSE)</f>
        <v>Produksi</v>
      </c>
    </row>
    <row r="23" spans="1:10" hidden="1">
      <c r="A23" s="2" t="s">
        <v>96</v>
      </c>
      <c r="B23" s="5" t="s">
        <v>97</v>
      </c>
      <c r="C23" t="s">
        <v>540</v>
      </c>
      <c r="D23" t="s">
        <v>61</v>
      </c>
      <c r="E23" t="s">
        <v>68</v>
      </c>
      <c r="F23" t="s">
        <v>72</v>
      </c>
      <c r="G23" t="s">
        <v>88</v>
      </c>
      <c r="H23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20-04-001-023</v>
      </c>
      <c r="I23" t="s">
        <v>1221</v>
      </c>
      <c r="J23" t="str">
        <f>VLOOKUP(Table22[[#This Row],[ID Karyawan]],[2]Sheet1!$B$4:$AC$363,13,FALSE)</f>
        <v>Produksi</v>
      </c>
    </row>
    <row r="24" spans="1:10" hidden="1">
      <c r="A24" s="2" t="s">
        <v>119</v>
      </c>
      <c r="B24" s="5" t="s">
        <v>120</v>
      </c>
      <c r="C24" t="s">
        <v>540</v>
      </c>
      <c r="D24" t="s">
        <v>61</v>
      </c>
      <c r="E24" t="s">
        <v>68</v>
      </c>
      <c r="F24" t="s">
        <v>72</v>
      </c>
      <c r="G24" t="s">
        <v>88</v>
      </c>
      <c r="H24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20-04-001-023</v>
      </c>
      <c r="I24" t="s">
        <v>1221</v>
      </c>
      <c r="J24" t="str">
        <f>VLOOKUP(Table22[[#This Row],[ID Karyawan]],[2]Sheet1!$B$4:$AC$363,13,FALSE)</f>
        <v>Produksi</v>
      </c>
    </row>
    <row r="25" spans="1:10" hidden="1">
      <c r="A25" s="2" t="s">
        <v>137</v>
      </c>
      <c r="B25" s="5" t="s">
        <v>138</v>
      </c>
      <c r="C25" t="s">
        <v>71</v>
      </c>
      <c r="D25" t="s">
        <v>61</v>
      </c>
      <c r="E25" t="s">
        <v>68</v>
      </c>
      <c r="F25" t="s">
        <v>139</v>
      </c>
      <c r="H25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</v>
      </c>
      <c r="I25" t="s">
        <v>1220</v>
      </c>
      <c r="J25" t="str">
        <f>VLOOKUP(Table22[[#This Row],[ID Karyawan]],[2]Sheet1!$B$4:$AC$363,13,FALSE)</f>
        <v>Produksi</v>
      </c>
    </row>
    <row r="26" spans="1:10" hidden="1">
      <c r="A26" s="2" t="s">
        <v>142</v>
      </c>
      <c r="B26" s="5" t="s">
        <v>143</v>
      </c>
      <c r="C26" t="s">
        <v>71</v>
      </c>
      <c r="D26" t="s">
        <v>61</v>
      </c>
      <c r="E26" t="s">
        <v>68</v>
      </c>
      <c r="F26" t="s">
        <v>139</v>
      </c>
      <c r="H26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</v>
      </c>
      <c r="I26" t="s">
        <v>1220</v>
      </c>
      <c r="J26" t="str">
        <f>VLOOKUP(Table22[[#This Row],[ID Karyawan]],[2]Sheet1!$B$4:$AC$363,13,FALSE)</f>
        <v>Produksi</v>
      </c>
    </row>
    <row r="27" spans="1:10" hidden="1">
      <c r="A27" s="2" t="s">
        <v>145</v>
      </c>
      <c r="B27" s="5" t="s">
        <v>146</v>
      </c>
      <c r="C27" t="s">
        <v>71</v>
      </c>
      <c r="D27" t="s">
        <v>61</v>
      </c>
      <c r="E27" t="s">
        <v>68</v>
      </c>
      <c r="F27" t="s">
        <v>139</v>
      </c>
      <c r="H27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</v>
      </c>
      <c r="I27" t="s">
        <v>1220</v>
      </c>
      <c r="J27" t="str">
        <f>VLOOKUP(Table22[[#This Row],[ID Karyawan]],[2]Sheet1!$B$4:$AC$363,13,FALSE)</f>
        <v>Produksi</v>
      </c>
    </row>
    <row r="28" spans="1:10" hidden="1">
      <c r="A28" s="2" t="s">
        <v>148</v>
      </c>
      <c r="B28" s="5" t="s">
        <v>149</v>
      </c>
      <c r="C28" t="s">
        <v>71</v>
      </c>
      <c r="D28" t="s">
        <v>61</v>
      </c>
      <c r="E28" t="s">
        <v>68</v>
      </c>
      <c r="F28" t="s">
        <v>139</v>
      </c>
      <c r="H28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</v>
      </c>
      <c r="I28" t="s">
        <v>1220</v>
      </c>
      <c r="J28" t="str">
        <f>VLOOKUP(Table22[[#This Row],[ID Karyawan]],[2]Sheet1!$B$4:$AC$363,13,FALSE)</f>
        <v>Produksi</v>
      </c>
    </row>
    <row r="29" spans="1:10" hidden="1">
      <c r="A29" s="2" t="s">
        <v>388</v>
      </c>
      <c r="B29" s="5" t="s">
        <v>389</v>
      </c>
      <c r="C29" t="s">
        <v>77</v>
      </c>
      <c r="D29" t="s">
        <v>61</v>
      </c>
      <c r="E29" t="s">
        <v>68</v>
      </c>
      <c r="F29" t="s">
        <v>139</v>
      </c>
      <c r="H29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</v>
      </c>
      <c r="I29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</v>
      </c>
      <c r="J29" t="str">
        <f>VLOOKUP(Table22[[#This Row],[ID Karyawan]],[2]Sheet1!$B$4:$AC$363,13,FALSE)</f>
        <v>Produksi</v>
      </c>
    </row>
    <row r="30" spans="1:10" hidden="1">
      <c r="A30" s="2" t="s">
        <v>392</v>
      </c>
      <c r="B30" s="5" t="s">
        <v>393</v>
      </c>
      <c r="C30" t="s">
        <v>77</v>
      </c>
      <c r="D30" t="s">
        <v>61</v>
      </c>
      <c r="E30" t="s">
        <v>68</v>
      </c>
      <c r="F30" t="s">
        <v>139</v>
      </c>
      <c r="H30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</v>
      </c>
      <c r="I30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</v>
      </c>
      <c r="J30" t="str">
        <f>VLOOKUP(Table22[[#This Row],[ID Karyawan]],[2]Sheet1!$B$4:$AC$363,13,FALSE)</f>
        <v>Produksi</v>
      </c>
    </row>
    <row r="31" spans="1:10" hidden="1">
      <c r="A31" s="2" t="s">
        <v>395</v>
      </c>
      <c r="B31" s="5" t="s">
        <v>396</v>
      </c>
      <c r="C31" t="s">
        <v>77</v>
      </c>
      <c r="D31" t="s">
        <v>61</v>
      </c>
      <c r="E31" t="s">
        <v>68</v>
      </c>
      <c r="F31" t="s">
        <v>139</v>
      </c>
      <c r="H31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</v>
      </c>
      <c r="I31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</v>
      </c>
      <c r="J31" t="str">
        <f>VLOOKUP(Table22[[#This Row],[ID Karyawan]],[2]Sheet1!$B$4:$AC$363,13,FALSE)</f>
        <v>Produksi</v>
      </c>
    </row>
    <row r="32" spans="1:10" hidden="1">
      <c r="A32" s="2" t="s">
        <v>399</v>
      </c>
      <c r="B32" s="5" t="s">
        <v>400</v>
      </c>
      <c r="C32" t="s">
        <v>77</v>
      </c>
      <c r="D32" t="s">
        <v>61</v>
      </c>
      <c r="E32" t="s">
        <v>68</v>
      </c>
      <c r="F32" t="s">
        <v>139</v>
      </c>
      <c r="H32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</v>
      </c>
      <c r="I32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</v>
      </c>
      <c r="J32" t="str">
        <f>VLOOKUP(Table22[[#This Row],[ID Karyawan]],[2]Sheet1!$B$4:$AC$363,13,FALSE)</f>
        <v>Produksi</v>
      </c>
    </row>
    <row r="33" spans="1:10" hidden="1">
      <c r="A33" s="2" t="s">
        <v>152</v>
      </c>
      <c r="B33" s="5" t="s">
        <v>153</v>
      </c>
      <c r="C33" t="s">
        <v>540</v>
      </c>
      <c r="D33" t="s">
        <v>61</v>
      </c>
      <c r="E33" t="s">
        <v>68</v>
      </c>
      <c r="F33" t="s">
        <v>139</v>
      </c>
      <c r="G33" t="s">
        <v>154</v>
      </c>
      <c r="H33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20-04-002-001</v>
      </c>
      <c r="I33" t="s">
        <v>1222</v>
      </c>
      <c r="J33" t="str">
        <f>VLOOKUP(Table22[[#This Row],[ID Karyawan]],[2]Sheet1!$B$4:$AC$363,13,FALSE)</f>
        <v>Produksi</v>
      </c>
    </row>
    <row r="34" spans="1:10" hidden="1">
      <c r="A34" s="2" t="s">
        <v>156</v>
      </c>
      <c r="B34" s="5" t="s">
        <v>157</v>
      </c>
      <c r="C34" t="s">
        <v>540</v>
      </c>
      <c r="D34" t="s">
        <v>61</v>
      </c>
      <c r="E34" t="s">
        <v>68</v>
      </c>
      <c r="F34" t="s">
        <v>139</v>
      </c>
      <c r="G34" t="s">
        <v>154</v>
      </c>
      <c r="H34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20-04-002-001</v>
      </c>
      <c r="I34" t="s">
        <v>1222</v>
      </c>
      <c r="J34" t="str">
        <f>VLOOKUP(Table22[[#This Row],[ID Karyawan]],[2]Sheet1!$B$4:$AC$363,13,FALSE)</f>
        <v>Produksi</v>
      </c>
    </row>
    <row r="35" spans="1:10" hidden="1">
      <c r="A35" s="2" t="s">
        <v>179</v>
      </c>
      <c r="B35" s="5" t="s">
        <v>180</v>
      </c>
      <c r="C35" t="s">
        <v>540</v>
      </c>
      <c r="D35" t="s">
        <v>61</v>
      </c>
      <c r="E35" t="s">
        <v>68</v>
      </c>
      <c r="F35" t="s">
        <v>139</v>
      </c>
      <c r="G35" t="s">
        <v>154</v>
      </c>
      <c r="H35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20-04-002-001</v>
      </c>
      <c r="I35" t="s">
        <v>1222</v>
      </c>
      <c r="J35" t="str">
        <f>VLOOKUP(Table22[[#This Row],[ID Karyawan]],[2]Sheet1!$B$4:$AC$363,13,FALSE)</f>
        <v>Produksi</v>
      </c>
    </row>
    <row r="36" spans="1:10" hidden="1">
      <c r="A36" s="2" t="s">
        <v>182</v>
      </c>
      <c r="B36" s="5" t="s">
        <v>183</v>
      </c>
      <c r="C36" t="s">
        <v>540</v>
      </c>
      <c r="D36" t="s">
        <v>61</v>
      </c>
      <c r="E36" t="s">
        <v>68</v>
      </c>
      <c r="F36" t="s">
        <v>139</v>
      </c>
      <c r="G36" t="s">
        <v>154</v>
      </c>
      <c r="H36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20-04-002-001</v>
      </c>
      <c r="I36" t="s">
        <v>1222</v>
      </c>
      <c r="J36" t="str">
        <f>VLOOKUP(Table22[[#This Row],[ID Karyawan]],[2]Sheet1!$B$4:$AC$363,13,FALSE)</f>
        <v>Produksi</v>
      </c>
    </row>
    <row r="37" spans="1:10" hidden="1">
      <c r="A37" s="2" t="s">
        <v>185</v>
      </c>
      <c r="B37" s="5" t="s">
        <v>186</v>
      </c>
      <c r="C37" t="s">
        <v>540</v>
      </c>
      <c r="D37" t="s">
        <v>61</v>
      </c>
      <c r="E37" t="s">
        <v>68</v>
      </c>
      <c r="F37" t="s">
        <v>139</v>
      </c>
      <c r="G37" t="s">
        <v>154</v>
      </c>
      <c r="H37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20-04-002-001</v>
      </c>
      <c r="I37" t="s">
        <v>1222</v>
      </c>
      <c r="J37" t="str">
        <f>VLOOKUP(Table22[[#This Row],[ID Karyawan]],[2]Sheet1!$B$4:$AC$363,13,FALSE)</f>
        <v>Produksi</v>
      </c>
    </row>
    <row r="38" spans="1:10" hidden="1">
      <c r="A38" s="2" t="s">
        <v>158</v>
      </c>
      <c r="B38" s="5" t="s">
        <v>159</v>
      </c>
      <c r="C38" t="s">
        <v>540</v>
      </c>
      <c r="D38" t="s">
        <v>61</v>
      </c>
      <c r="E38" t="s">
        <v>68</v>
      </c>
      <c r="F38" t="s">
        <v>139</v>
      </c>
      <c r="G38" t="s">
        <v>154</v>
      </c>
      <c r="H38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20-04-002-001</v>
      </c>
      <c r="I38" t="s">
        <v>1222</v>
      </c>
      <c r="J38" t="str">
        <f>VLOOKUP(Table22[[#This Row],[ID Karyawan]],[2]Sheet1!$B$4:$AC$363,13,FALSE)</f>
        <v>Produksi</v>
      </c>
    </row>
    <row r="39" spans="1:10" hidden="1">
      <c r="A39" s="2" t="s">
        <v>187</v>
      </c>
      <c r="B39" s="5" t="s">
        <v>188</v>
      </c>
      <c r="C39" t="s">
        <v>540</v>
      </c>
      <c r="D39" t="s">
        <v>61</v>
      </c>
      <c r="E39" t="s">
        <v>68</v>
      </c>
      <c r="F39" t="s">
        <v>139</v>
      </c>
      <c r="G39" t="s">
        <v>154</v>
      </c>
      <c r="H39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20-04-002-001</v>
      </c>
      <c r="I39" t="s">
        <v>1222</v>
      </c>
      <c r="J39" t="str">
        <f>VLOOKUP(Table22[[#This Row],[ID Karyawan]],[2]Sheet1!$B$4:$AC$363,13,FALSE)</f>
        <v>Produksi</v>
      </c>
    </row>
    <row r="40" spans="1:10" hidden="1">
      <c r="A40" s="2" t="s">
        <v>160</v>
      </c>
      <c r="B40" s="5" t="s">
        <v>161</v>
      </c>
      <c r="C40" t="s">
        <v>540</v>
      </c>
      <c r="D40" t="s">
        <v>61</v>
      </c>
      <c r="E40" t="s">
        <v>68</v>
      </c>
      <c r="F40" t="s">
        <v>139</v>
      </c>
      <c r="G40" t="s">
        <v>154</v>
      </c>
      <c r="H40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20-04-002-001</v>
      </c>
      <c r="I40" t="s">
        <v>1222</v>
      </c>
      <c r="J40" t="str">
        <f>VLOOKUP(Table22[[#This Row],[ID Karyawan]],[2]Sheet1!$B$4:$AC$363,13,FALSE)</f>
        <v>Produksi</v>
      </c>
    </row>
    <row r="41" spans="1:10" hidden="1">
      <c r="A41" s="2" t="s">
        <v>164</v>
      </c>
      <c r="B41" s="5" t="s">
        <v>165</v>
      </c>
      <c r="C41" t="s">
        <v>540</v>
      </c>
      <c r="D41" t="s">
        <v>61</v>
      </c>
      <c r="E41" t="s">
        <v>68</v>
      </c>
      <c r="F41" t="s">
        <v>139</v>
      </c>
      <c r="G41" t="s">
        <v>154</v>
      </c>
      <c r="H41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20-04-002-001</v>
      </c>
      <c r="I41" t="s">
        <v>1222</v>
      </c>
      <c r="J41" t="str">
        <f>VLOOKUP(Table22[[#This Row],[ID Karyawan]],[2]Sheet1!$B$4:$AC$363,13,FALSE)</f>
        <v>Produksi</v>
      </c>
    </row>
    <row r="42" spans="1:10" hidden="1">
      <c r="A42" s="2" t="s">
        <v>168</v>
      </c>
      <c r="B42" s="5" t="s">
        <v>169</v>
      </c>
      <c r="C42" t="s">
        <v>540</v>
      </c>
      <c r="D42" t="s">
        <v>61</v>
      </c>
      <c r="E42" t="s">
        <v>68</v>
      </c>
      <c r="F42" t="s">
        <v>139</v>
      </c>
      <c r="G42" t="s">
        <v>154</v>
      </c>
      <c r="H42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20-04-002-001</v>
      </c>
      <c r="I42" t="s">
        <v>1222</v>
      </c>
      <c r="J42" t="str">
        <f>VLOOKUP(Table22[[#This Row],[ID Karyawan]],[2]Sheet1!$B$4:$AC$363,13,FALSE)</f>
        <v>Produksi</v>
      </c>
    </row>
    <row r="43" spans="1:10" hidden="1">
      <c r="A43" s="2" t="s">
        <v>191</v>
      </c>
      <c r="B43" s="5" t="s">
        <v>192</v>
      </c>
      <c r="C43" t="s">
        <v>540</v>
      </c>
      <c r="D43" t="s">
        <v>61</v>
      </c>
      <c r="E43" t="s">
        <v>68</v>
      </c>
      <c r="F43" t="s">
        <v>139</v>
      </c>
      <c r="G43" t="s">
        <v>154</v>
      </c>
      <c r="H43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20-04-002-001</v>
      </c>
      <c r="I43" t="s">
        <v>1222</v>
      </c>
      <c r="J43" t="str">
        <f>VLOOKUP(Table22[[#This Row],[ID Karyawan]],[2]Sheet1!$B$4:$AC$363,13,FALSE)</f>
        <v>Produksi</v>
      </c>
    </row>
    <row r="44" spans="1:10" hidden="1">
      <c r="A44" s="2" t="s">
        <v>194</v>
      </c>
      <c r="B44" s="5" t="s">
        <v>195</v>
      </c>
      <c r="C44" t="s">
        <v>540</v>
      </c>
      <c r="D44" t="s">
        <v>61</v>
      </c>
      <c r="E44" t="s">
        <v>68</v>
      </c>
      <c r="F44" t="s">
        <v>139</v>
      </c>
      <c r="G44" t="s">
        <v>154</v>
      </c>
      <c r="H44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20-04-002-001</v>
      </c>
      <c r="I44" t="s">
        <v>1222</v>
      </c>
      <c r="J44" t="str">
        <f>VLOOKUP(Table22[[#This Row],[ID Karyawan]],[2]Sheet1!$B$4:$AC$363,13,FALSE)</f>
        <v>Produksi</v>
      </c>
    </row>
    <row r="45" spans="1:10" hidden="1">
      <c r="A45" s="2" t="s">
        <v>197</v>
      </c>
      <c r="B45" s="5" t="s">
        <v>198</v>
      </c>
      <c r="C45" t="s">
        <v>540</v>
      </c>
      <c r="D45" t="s">
        <v>61</v>
      </c>
      <c r="E45" t="s">
        <v>68</v>
      </c>
      <c r="F45" t="s">
        <v>139</v>
      </c>
      <c r="G45" t="s">
        <v>154</v>
      </c>
      <c r="H45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20-04-002-001</v>
      </c>
      <c r="I45" t="s">
        <v>1222</v>
      </c>
      <c r="J45" t="str">
        <f>VLOOKUP(Table22[[#This Row],[ID Karyawan]],[2]Sheet1!$B$4:$AC$363,13,FALSE)</f>
        <v>Produksi</v>
      </c>
    </row>
    <row r="46" spans="1:10" hidden="1">
      <c r="A46" s="2" t="s">
        <v>172</v>
      </c>
      <c r="B46" s="5" t="s">
        <v>173</v>
      </c>
      <c r="C46" t="s">
        <v>540</v>
      </c>
      <c r="D46" t="s">
        <v>61</v>
      </c>
      <c r="E46" t="s">
        <v>68</v>
      </c>
      <c r="F46" t="s">
        <v>139</v>
      </c>
      <c r="G46" t="s">
        <v>154</v>
      </c>
      <c r="H46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20-04-002-001</v>
      </c>
      <c r="I46" t="s">
        <v>1222</v>
      </c>
      <c r="J46" t="str">
        <f>VLOOKUP(Table22[[#This Row],[ID Karyawan]],[2]Sheet1!$B$4:$AC$363,13,FALSE)</f>
        <v>Produksi</v>
      </c>
    </row>
    <row r="47" spans="1:10" hidden="1">
      <c r="A47" s="2" t="s">
        <v>201</v>
      </c>
      <c r="B47" s="5" t="s">
        <v>202</v>
      </c>
      <c r="C47" t="s">
        <v>540</v>
      </c>
      <c r="D47" t="s">
        <v>61</v>
      </c>
      <c r="E47" t="s">
        <v>68</v>
      </c>
      <c r="F47" t="s">
        <v>139</v>
      </c>
      <c r="G47" t="s">
        <v>154</v>
      </c>
      <c r="H47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20-04-002-001</v>
      </c>
      <c r="I47" t="s">
        <v>1222</v>
      </c>
      <c r="J47" t="str">
        <f>VLOOKUP(Table22[[#This Row],[ID Karyawan]],[2]Sheet1!$B$4:$AC$363,13,FALSE)</f>
        <v>Produksi</v>
      </c>
    </row>
    <row r="48" spans="1:10" hidden="1">
      <c r="A48" s="2" t="s">
        <v>205</v>
      </c>
      <c r="B48" s="5" t="s">
        <v>206</v>
      </c>
      <c r="C48" t="s">
        <v>540</v>
      </c>
      <c r="D48" t="s">
        <v>61</v>
      </c>
      <c r="E48" t="s">
        <v>68</v>
      </c>
      <c r="F48" t="s">
        <v>139</v>
      </c>
      <c r="G48" t="s">
        <v>154</v>
      </c>
      <c r="H48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20-04-002-001</v>
      </c>
      <c r="I48" t="s">
        <v>1222</v>
      </c>
      <c r="J48" t="str">
        <f>VLOOKUP(Table22[[#This Row],[ID Karyawan]],[2]Sheet1!$B$4:$AC$363,13,FALSE)</f>
        <v>Produksi</v>
      </c>
    </row>
    <row r="49" spans="1:10" hidden="1">
      <c r="A49" s="2" t="s">
        <v>209</v>
      </c>
      <c r="B49" s="5" t="s">
        <v>210</v>
      </c>
      <c r="C49" t="s">
        <v>540</v>
      </c>
      <c r="D49" t="s">
        <v>61</v>
      </c>
      <c r="E49" t="s">
        <v>68</v>
      </c>
      <c r="F49" t="s">
        <v>139</v>
      </c>
      <c r="G49" t="s">
        <v>154</v>
      </c>
      <c r="H49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20-04-002-001</v>
      </c>
      <c r="I49" t="s">
        <v>1222</v>
      </c>
      <c r="J49" t="str">
        <f>VLOOKUP(Table22[[#This Row],[ID Karyawan]],[2]Sheet1!$B$4:$AC$363,13,FALSE)</f>
        <v>Produksi</v>
      </c>
    </row>
    <row r="50" spans="1:10" hidden="1">
      <c r="A50" s="2" t="s">
        <v>212</v>
      </c>
      <c r="B50" s="5" t="s">
        <v>213</v>
      </c>
      <c r="C50" t="s">
        <v>540</v>
      </c>
      <c r="D50" t="s">
        <v>61</v>
      </c>
      <c r="E50" t="s">
        <v>68</v>
      </c>
      <c r="F50" t="s">
        <v>139</v>
      </c>
      <c r="G50" t="s">
        <v>154</v>
      </c>
      <c r="H50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20-04-002-001</v>
      </c>
      <c r="I50" t="s">
        <v>1222</v>
      </c>
      <c r="J50" t="str">
        <f>VLOOKUP(Table22[[#This Row],[ID Karyawan]],[2]Sheet1!$B$4:$AC$363,13,FALSE)</f>
        <v>Produksi</v>
      </c>
    </row>
    <row r="51" spans="1:10" hidden="1">
      <c r="A51" s="2" t="s">
        <v>176</v>
      </c>
      <c r="B51" s="5" t="s">
        <v>177</v>
      </c>
      <c r="C51" t="s">
        <v>540</v>
      </c>
      <c r="D51" t="s">
        <v>61</v>
      </c>
      <c r="E51" t="s">
        <v>68</v>
      </c>
      <c r="F51" t="s">
        <v>139</v>
      </c>
      <c r="G51" t="s">
        <v>154</v>
      </c>
      <c r="H51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20-04-002-001</v>
      </c>
      <c r="I51" t="s">
        <v>1222</v>
      </c>
      <c r="J51" t="str">
        <f>VLOOKUP(Table22[[#This Row],[ID Karyawan]],[2]Sheet1!$B$4:$AC$363,13,FALSE)</f>
        <v>Produksi</v>
      </c>
    </row>
    <row r="52" spans="1:10" hidden="1">
      <c r="A52" s="2" t="s">
        <v>216</v>
      </c>
      <c r="B52" s="5" t="s">
        <v>217</v>
      </c>
      <c r="C52" t="s">
        <v>540</v>
      </c>
      <c r="D52" t="s">
        <v>61</v>
      </c>
      <c r="E52" t="s">
        <v>68</v>
      </c>
      <c r="F52" t="s">
        <v>139</v>
      </c>
      <c r="G52" t="s">
        <v>154</v>
      </c>
      <c r="H52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20-04-002-001</v>
      </c>
      <c r="I52" t="s">
        <v>1222</v>
      </c>
      <c r="J52" t="str">
        <f>VLOOKUP(Table22[[#This Row],[ID Karyawan]],[2]Sheet1!$B$4:$AC$363,13,FALSE)</f>
        <v>Produksi</v>
      </c>
    </row>
    <row r="53" spans="1:10" hidden="1">
      <c r="A53" s="2" t="s">
        <v>220</v>
      </c>
      <c r="B53" s="5" t="s">
        <v>221</v>
      </c>
      <c r="C53" t="s">
        <v>540</v>
      </c>
      <c r="D53" t="s">
        <v>61</v>
      </c>
      <c r="E53" t="s">
        <v>68</v>
      </c>
      <c r="F53" t="s">
        <v>139</v>
      </c>
      <c r="G53" t="s">
        <v>154</v>
      </c>
      <c r="H53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20-04-002-001</v>
      </c>
      <c r="I53" t="s">
        <v>1222</v>
      </c>
      <c r="J53" t="str">
        <f>VLOOKUP(Table22[[#This Row],[ID Karyawan]],[2]Sheet1!$B$4:$AC$363,13,FALSE)</f>
        <v>Produksi</v>
      </c>
    </row>
    <row r="54" spans="1:10" hidden="1">
      <c r="A54" s="2" t="s">
        <v>224</v>
      </c>
      <c r="B54" s="5" t="s">
        <v>225</v>
      </c>
      <c r="C54" t="s">
        <v>540</v>
      </c>
      <c r="D54" t="s">
        <v>61</v>
      </c>
      <c r="E54" t="s">
        <v>68</v>
      </c>
      <c r="F54" t="s">
        <v>139</v>
      </c>
      <c r="G54" t="s">
        <v>154</v>
      </c>
      <c r="H54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20-04-002-001</v>
      </c>
      <c r="I54" t="s">
        <v>1222</v>
      </c>
      <c r="J54" t="str">
        <f>VLOOKUP(Table22[[#This Row],[ID Karyawan]],[2]Sheet1!$B$4:$AC$363,13,FALSE)</f>
        <v>Produksi</v>
      </c>
    </row>
    <row r="55" spans="1:10" hidden="1">
      <c r="A55" s="2" t="s">
        <v>226</v>
      </c>
      <c r="B55" s="5" t="s">
        <v>227</v>
      </c>
      <c r="C55" t="s">
        <v>540</v>
      </c>
      <c r="D55" t="s">
        <v>61</v>
      </c>
      <c r="E55" t="s">
        <v>68</v>
      </c>
      <c r="F55" t="s">
        <v>139</v>
      </c>
      <c r="G55" t="s">
        <v>228</v>
      </c>
      <c r="H55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20-04-002-002</v>
      </c>
      <c r="I55" t="s">
        <v>1222</v>
      </c>
      <c r="J55" t="str">
        <f>VLOOKUP(Table22[[#This Row],[ID Karyawan]],[2]Sheet1!$B$4:$AC$363,13,FALSE)</f>
        <v>Produksi</v>
      </c>
    </row>
    <row r="56" spans="1:10" hidden="1">
      <c r="A56" s="2" t="s">
        <v>254</v>
      </c>
      <c r="B56" s="5" t="s">
        <v>255</v>
      </c>
      <c r="C56" t="s">
        <v>540</v>
      </c>
      <c r="D56" t="s">
        <v>61</v>
      </c>
      <c r="E56" t="s">
        <v>68</v>
      </c>
      <c r="F56" t="s">
        <v>139</v>
      </c>
      <c r="G56" t="s">
        <v>228</v>
      </c>
      <c r="H56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20-04-002-002</v>
      </c>
      <c r="I56" t="s">
        <v>1222</v>
      </c>
      <c r="J56" t="str">
        <f>VLOOKUP(Table22[[#This Row],[ID Karyawan]],[2]Sheet1!$B$4:$AC$363,13,FALSE)</f>
        <v>Produksi</v>
      </c>
    </row>
    <row r="57" spans="1:10" hidden="1">
      <c r="A57" s="2" t="s">
        <v>229</v>
      </c>
      <c r="B57" s="5" t="s">
        <v>230</v>
      </c>
      <c r="C57" t="s">
        <v>540</v>
      </c>
      <c r="D57" t="s">
        <v>61</v>
      </c>
      <c r="E57" t="s">
        <v>68</v>
      </c>
      <c r="F57" t="s">
        <v>139</v>
      </c>
      <c r="G57" t="s">
        <v>228</v>
      </c>
      <c r="H57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20-04-002-002</v>
      </c>
      <c r="I57" t="s">
        <v>1222</v>
      </c>
      <c r="J57" t="str">
        <f>VLOOKUP(Table22[[#This Row],[ID Karyawan]],[2]Sheet1!$B$4:$AC$363,13,FALSE)</f>
        <v>Produksi</v>
      </c>
    </row>
    <row r="58" spans="1:10" hidden="1">
      <c r="A58" s="2" t="s">
        <v>233</v>
      </c>
      <c r="B58" s="5" t="s">
        <v>234</v>
      </c>
      <c r="C58" t="s">
        <v>540</v>
      </c>
      <c r="D58" t="s">
        <v>61</v>
      </c>
      <c r="E58" t="s">
        <v>68</v>
      </c>
      <c r="F58" t="s">
        <v>139</v>
      </c>
      <c r="G58" t="s">
        <v>228</v>
      </c>
      <c r="H58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20-04-002-002</v>
      </c>
      <c r="I58" t="s">
        <v>1222</v>
      </c>
      <c r="J58" t="str">
        <f>VLOOKUP(Table22[[#This Row],[ID Karyawan]],[2]Sheet1!$B$4:$AC$363,13,FALSE)</f>
        <v>Produksi</v>
      </c>
    </row>
    <row r="59" spans="1:10" hidden="1">
      <c r="A59" s="2" t="s">
        <v>236</v>
      </c>
      <c r="B59" s="5" t="s">
        <v>237</v>
      </c>
      <c r="C59" t="s">
        <v>540</v>
      </c>
      <c r="D59" t="s">
        <v>61</v>
      </c>
      <c r="E59" t="s">
        <v>68</v>
      </c>
      <c r="F59" t="s">
        <v>139</v>
      </c>
      <c r="G59" t="s">
        <v>228</v>
      </c>
      <c r="H59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20-04-002-002</v>
      </c>
      <c r="I59" t="s">
        <v>1222</v>
      </c>
      <c r="J59" t="str">
        <f>VLOOKUP(Table22[[#This Row],[ID Karyawan]],[2]Sheet1!$B$4:$AC$363,13,FALSE)</f>
        <v>Produksi</v>
      </c>
    </row>
    <row r="60" spans="1:10" hidden="1">
      <c r="A60" s="2" t="s">
        <v>256</v>
      </c>
      <c r="B60" s="5" t="s">
        <v>257</v>
      </c>
      <c r="C60" t="s">
        <v>540</v>
      </c>
      <c r="D60" t="s">
        <v>61</v>
      </c>
      <c r="E60" t="s">
        <v>68</v>
      </c>
      <c r="F60" t="s">
        <v>139</v>
      </c>
      <c r="G60" t="s">
        <v>228</v>
      </c>
      <c r="H60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20-04-002-002</v>
      </c>
      <c r="I60" t="s">
        <v>1222</v>
      </c>
      <c r="J60" t="str">
        <f>VLOOKUP(Table22[[#This Row],[ID Karyawan]],[2]Sheet1!$B$4:$AC$363,13,FALSE)</f>
        <v>Produksi</v>
      </c>
    </row>
    <row r="61" spans="1:10" hidden="1">
      <c r="A61" s="2" t="s">
        <v>260</v>
      </c>
      <c r="B61" s="5" t="s">
        <v>261</v>
      </c>
      <c r="C61" t="s">
        <v>540</v>
      </c>
      <c r="D61" t="s">
        <v>61</v>
      </c>
      <c r="E61" t="s">
        <v>68</v>
      </c>
      <c r="F61" t="s">
        <v>139</v>
      </c>
      <c r="G61" t="s">
        <v>228</v>
      </c>
      <c r="H61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20-04-002-002</v>
      </c>
      <c r="I61" t="s">
        <v>1222</v>
      </c>
      <c r="J61" t="str">
        <f>VLOOKUP(Table22[[#This Row],[ID Karyawan]],[2]Sheet1!$B$4:$AC$363,13,FALSE)</f>
        <v>Produksi</v>
      </c>
    </row>
    <row r="62" spans="1:10" hidden="1">
      <c r="A62" s="2" t="s">
        <v>264</v>
      </c>
      <c r="B62" s="5" t="s">
        <v>265</v>
      </c>
      <c r="C62" t="s">
        <v>540</v>
      </c>
      <c r="D62" t="s">
        <v>61</v>
      </c>
      <c r="E62" t="s">
        <v>68</v>
      </c>
      <c r="F62" t="s">
        <v>139</v>
      </c>
      <c r="G62" t="s">
        <v>228</v>
      </c>
      <c r="H62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20-04-002-002</v>
      </c>
      <c r="I62" t="s">
        <v>1222</v>
      </c>
      <c r="J62" t="str">
        <f>VLOOKUP(Table22[[#This Row],[ID Karyawan]],[2]Sheet1!$B$4:$AC$363,13,FALSE)</f>
        <v>Produksi</v>
      </c>
    </row>
    <row r="63" spans="1:10" hidden="1">
      <c r="A63" s="2" t="s">
        <v>268</v>
      </c>
      <c r="B63" s="5" t="s">
        <v>269</v>
      </c>
      <c r="C63" t="s">
        <v>540</v>
      </c>
      <c r="D63" t="s">
        <v>61</v>
      </c>
      <c r="E63" t="s">
        <v>68</v>
      </c>
      <c r="F63" t="s">
        <v>139</v>
      </c>
      <c r="G63" t="s">
        <v>228</v>
      </c>
      <c r="H63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20-04-002-002</v>
      </c>
      <c r="I63" t="s">
        <v>1222</v>
      </c>
      <c r="J63" t="str">
        <f>VLOOKUP(Table22[[#This Row],[ID Karyawan]],[2]Sheet1!$B$4:$AC$363,13,FALSE)</f>
        <v>Produksi</v>
      </c>
    </row>
    <row r="64" spans="1:10" hidden="1">
      <c r="A64" s="2" t="s">
        <v>239</v>
      </c>
      <c r="B64" s="5" t="s">
        <v>240</v>
      </c>
      <c r="C64" t="s">
        <v>540</v>
      </c>
      <c r="D64" t="s">
        <v>61</v>
      </c>
      <c r="E64" t="s">
        <v>68</v>
      </c>
      <c r="F64" t="s">
        <v>139</v>
      </c>
      <c r="G64" t="s">
        <v>228</v>
      </c>
      <c r="H64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20-04-002-002</v>
      </c>
      <c r="I64" t="s">
        <v>1222</v>
      </c>
      <c r="J64" t="str">
        <f>VLOOKUP(Table22[[#This Row],[ID Karyawan]],[2]Sheet1!$B$4:$AC$363,13,FALSE)</f>
        <v>Produksi</v>
      </c>
    </row>
    <row r="65" spans="1:10" hidden="1">
      <c r="A65" s="2" t="s">
        <v>272</v>
      </c>
      <c r="B65" s="5" t="s">
        <v>273</v>
      </c>
      <c r="C65" t="s">
        <v>540</v>
      </c>
      <c r="D65" t="s">
        <v>61</v>
      </c>
      <c r="E65" t="s">
        <v>68</v>
      </c>
      <c r="F65" t="s">
        <v>139</v>
      </c>
      <c r="G65" t="s">
        <v>228</v>
      </c>
      <c r="H65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20-04-002-002</v>
      </c>
      <c r="I65" t="s">
        <v>1222</v>
      </c>
      <c r="J65" t="str">
        <f>VLOOKUP(Table22[[#This Row],[ID Karyawan]],[2]Sheet1!$B$4:$AC$363,13,FALSE)</f>
        <v>Produksi</v>
      </c>
    </row>
    <row r="66" spans="1:10" hidden="1">
      <c r="A66" s="2" t="s">
        <v>276</v>
      </c>
      <c r="B66" s="5" t="s">
        <v>277</v>
      </c>
      <c r="C66" t="s">
        <v>540</v>
      </c>
      <c r="D66" t="s">
        <v>61</v>
      </c>
      <c r="E66" t="s">
        <v>68</v>
      </c>
      <c r="F66" t="s">
        <v>139</v>
      </c>
      <c r="G66" t="s">
        <v>228</v>
      </c>
      <c r="H66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20-04-002-002</v>
      </c>
      <c r="I66" t="s">
        <v>1222</v>
      </c>
      <c r="J66" t="str">
        <f>VLOOKUP(Table22[[#This Row],[ID Karyawan]],[2]Sheet1!$B$4:$AC$363,13,FALSE)</f>
        <v>Produksi</v>
      </c>
    </row>
    <row r="67" spans="1:10" hidden="1">
      <c r="A67" s="2" t="s">
        <v>280</v>
      </c>
      <c r="B67" s="5" t="s">
        <v>281</v>
      </c>
      <c r="C67" t="s">
        <v>540</v>
      </c>
      <c r="D67" t="s">
        <v>61</v>
      </c>
      <c r="E67" t="s">
        <v>68</v>
      </c>
      <c r="F67" t="s">
        <v>139</v>
      </c>
      <c r="G67" t="s">
        <v>228</v>
      </c>
      <c r="H67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20-04-002-002</v>
      </c>
      <c r="I67" t="s">
        <v>1222</v>
      </c>
      <c r="J67" t="str">
        <f>VLOOKUP(Table22[[#This Row],[ID Karyawan]],[2]Sheet1!$B$4:$AC$363,13,FALSE)</f>
        <v>Produksi</v>
      </c>
    </row>
    <row r="68" spans="1:10" hidden="1">
      <c r="A68" s="2" t="s">
        <v>243</v>
      </c>
      <c r="B68" s="5" t="s">
        <v>244</v>
      </c>
      <c r="C68" t="s">
        <v>540</v>
      </c>
      <c r="D68" t="s">
        <v>61</v>
      </c>
      <c r="E68" t="s">
        <v>68</v>
      </c>
      <c r="F68" t="s">
        <v>139</v>
      </c>
      <c r="G68" t="s">
        <v>228</v>
      </c>
      <c r="H68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20-04-002-002</v>
      </c>
      <c r="I68" t="s">
        <v>1222</v>
      </c>
      <c r="J68" t="str">
        <f>VLOOKUP(Table22[[#This Row],[ID Karyawan]],[2]Sheet1!$B$4:$AC$363,13,FALSE)</f>
        <v>Produksi</v>
      </c>
    </row>
    <row r="69" spans="1:10" hidden="1">
      <c r="A69" s="2" t="s">
        <v>282</v>
      </c>
      <c r="B69" s="5" t="s">
        <v>283</v>
      </c>
      <c r="C69" t="s">
        <v>540</v>
      </c>
      <c r="D69" t="s">
        <v>61</v>
      </c>
      <c r="E69" t="s">
        <v>68</v>
      </c>
      <c r="F69" t="s">
        <v>139</v>
      </c>
      <c r="G69" t="s">
        <v>228</v>
      </c>
      <c r="H69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20-04-002-002</v>
      </c>
      <c r="I69" t="s">
        <v>1222</v>
      </c>
      <c r="J69" t="str">
        <f>VLOOKUP(Table22[[#This Row],[ID Karyawan]],[2]Sheet1!$B$4:$AC$363,13,FALSE)</f>
        <v>Produksi</v>
      </c>
    </row>
    <row r="70" spans="1:10" hidden="1">
      <c r="A70" s="2" t="s">
        <v>285</v>
      </c>
      <c r="B70" s="5" t="s">
        <v>286</v>
      </c>
      <c r="C70" t="s">
        <v>540</v>
      </c>
      <c r="D70" t="s">
        <v>61</v>
      </c>
      <c r="E70" t="s">
        <v>68</v>
      </c>
      <c r="F70" t="s">
        <v>139</v>
      </c>
      <c r="G70" t="s">
        <v>228</v>
      </c>
      <c r="H70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20-04-002-002</v>
      </c>
      <c r="I70" t="s">
        <v>1222</v>
      </c>
      <c r="J70" t="str">
        <f>VLOOKUP(Table22[[#This Row],[ID Karyawan]],[2]Sheet1!$B$4:$AC$363,13,FALSE)</f>
        <v>Produksi</v>
      </c>
    </row>
    <row r="71" spans="1:10" hidden="1">
      <c r="A71" s="2" t="s">
        <v>247</v>
      </c>
      <c r="B71" s="5" t="s">
        <v>248</v>
      </c>
      <c r="C71" t="s">
        <v>540</v>
      </c>
      <c r="D71" t="s">
        <v>61</v>
      </c>
      <c r="E71" t="s">
        <v>68</v>
      </c>
      <c r="F71" t="s">
        <v>139</v>
      </c>
      <c r="G71" t="s">
        <v>228</v>
      </c>
      <c r="H71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20-04-002-002</v>
      </c>
      <c r="I71" t="s">
        <v>1222</v>
      </c>
      <c r="J71" t="str">
        <f>VLOOKUP(Table22[[#This Row],[ID Karyawan]],[2]Sheet1!$B$4:$AC$363,13,FALSE)</f>
        <v>Produksi</v>
      </c>
    </row>
    <row r="72" spans="1:10" hidden="1">
      <c r="A72" s="2" t="s">
        <v>250</v>
      </c>
      <c r="B72" s="5" t="s">
        <v>251</v>
      </c>
      <c r="C72" t="s">
        <v>540</v>
      </c>
      <c r="D72" t="s">
        <v>61</v>
      </c>
      <c r="E72" t="s">
        <v>68</v>
      </c>
      <c r="F72" t="s">
        <v>139</v>
      </c>
      <c r="G72" t="s">
        <v>228</v>
      </c>
      <c r="H72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20-04-002-002</v>
      </c>
      <c r="I72" t="s">
        <v>1222</v>
      </c>
      <c r="J72" t="str">
        <f>VLOOKUP(Table22[[#This Row],[ID Karyawan]],[2]Sheet1!$B$4:$AC$363,13,FALSE)</f>
        <v>Produksi</v>
      </c>
    </row>
    <row r="73" spans="1:10" hidden="1">
      <c r="A73" s="2" t="s">
        <v>288</v>
      </c>
      <c r="B73" s="5" t="s">
        <v>289</v>
      </c>
      <c r="C73" t="s">
        <v>540</v>
      </c>
      <c r="D73" t="s">
        <v>61</v>
      </c>
      <c r="E73" t="s">
        <v>68</v>
      </c>
      <c r="F73" t="s">
        <v>139</v>
      </c>
      <c r="G73" t="s">
        <v>228</v>
      </c>
      <c r="H73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20-04-002-002</v>
      </c>
      <c r="I73" t="s">
        <v>1222</v>
      </c>
      <c r="J73" t="str">
        <f>VLOOKUP(Table22[[#This Row],[ID Karyawan]],[2]Sheet1!$B$4:$AC$363,13,FALSE)</f>
        <v>Produksi</v>
      </c>
    </row>
    <row r="74" spans="1:10" hidden="1">
      <c r="A74" s="2" t="s">
        <v>291</v>
      </c>
      <c r="B74" s="5" t="s">
        <v>292</v>
      </c>
      <c r="C74" t="s">
        <v>540</v>
      </c>
      <c r="D74" t="s">
        <v>61</v>
      </c>
      <c r="E74" t="s">
        <v>68</v>
      </c>
      <c r="F74" t="s">
        <v>139</v>
      </c>
      <c r="G74" t="s">
        <v>293</v>
      </c>
      <c r="H74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20-04-002-003</v>
      </c>
      <c r="I74" t="s">
        <v>1222</v>
      </c>
      <c r="J74" t="str">
        <f>VLOOKUP(Table22[[#This Row],[ID Karyawan]],[2]Sheet1!$B$4:$AC$363,13,FALSE)</f>
        <v>Produksi</v>
      </c>
    </row>
    <row r="75" spans="1:10" hidden="1">
      <c r="A75" s="2" t="s">
        <v>316</v>
      </c>
      <c r="B75" s="5" t="s">
        <v>317</v>
      </c>
      <c r="C75" t="s">
        <v>540</v>
      </c>
      <c r="D75" t="s">
        <v>61</v>
      </c>
      <c r="E75" t="s">
        <v>68</v>
      </c>
      <c r="F75" t="s">
        <v>139</v>
      </c>
      <c r="G75" t="s">
        <v>293</v>
      </c>
      <c r="H75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20-04-002-003</v>
      </c>
      <c r="I75" t="s">
        <v>1222</v>
      </c>
      <c r="J75" t="str">
        <f>VLOOKUP(Table22[[#This Row],[ID Karyawan]],[2]Sheet1!$B$4:$AC$363,13,FALSE)</f>
        <v>Produksi</v>
      </c>
    </row>
    <row r="76" spans="1:10" hidden="1">
      <c r="A76" s="2" t="s">
        <v>319</v>
      </c>
      <c r="B76" s="5" t="s">
        <v>320</v>
      </c>
      <c r="C76" t="s">
        <v>540</v>
      </c>
      <c r="D76" t="s">
        <v>61</v>
      </c>
      <c r="E76" t="s">
        <v>68</v>
      </c>
      <c r="F76" t="s">
        <v>139</v>
      </c>
      <c r="G76" t="s">
        <v>293</v>
      </c>
      <c r="H76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20-04-002-003</v>
      </c>
      <c r="I76" t="s">
        <v>1222</v>
      </c>
      <c r="J76" t="str">
        <f>VLOOKUP(Table22[[#This Row],[ID Karyawan]],[2]Sheet1!$B$4:$AC$363,13,FALSE)</f>
        <v>Produksi</v>
      </c>
    </row>
    <row r="77" spans="1:10" hidden="1">
      <c r="A77" s="2" t="s">
        <v>321</v>
      </c>
      <c r="B77" s="5" t="s">
        <v>322</v>
      </c>
      <c r="C77" t="s">
        <v>540</v>
      </c>
      <c r="D77" t="s">
        <v>61</v>
      </c>
      <c r="E77" t="s">
        <v>68</v>
      </c>
      <c r="F77" t="s">
        <v>139</v>
      </c>
      <c r="G77" t="s">
        <v>293</v>
      </c>
      <c r="H77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20-04-002-003</v>
      </c>
      <c r="I77" t="s">
        <v>1222</v>
      </c>
      <c r="J77" t="str">
        <f>VLOOKUP(Table22[[#This Row],[ID Karyawan]],[2]Sheet1!$B$4:$AC$363,13,FALSE)</f>
        <v>Produksi</v>
      </c>
    </row>
    <row r="78" spans="1:10" hidden="1">
      <c r="A78" s="2" t="s">
        <v>324</v>
      </c>
      <c r="B78" s="5" t="s">
        <v>325</v>
      </c>
      <c r="C78" t="s">
        <v>540</v>
      </c>
      <c r="D78" t="s">
        <v>61</v>
      </c>
      <c r="E78" t="s">
        <v>68</v>
      </c>
      <c r="F78" t="s">
        <v>139</v>
      </c>
      <c r="G78" t="s">
        <v>293</v>
      </c>
      <c r="H78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20-04-002-003</v>
      </c>
      <c r="I78" t="s">
        <v>1222</v>
      </c>
      <c r="J78" t="str">
        <f>VLOOKUP(Table22[[#This Row],[ID Karyawan]],[2]Sheet1!$B$4:$AC$363,13,FALSE)</f>
        <v>Produksi</v>
      </c>
    </row>
    <row r="79" spans="1:10" hidden="1">
      <c r="A79" s="2" t="s">
        <v>328</v>
      </c>
      <c r="B79" s="5" t="s">
        <v>329</v>
      </c>
      <c r="C79" t="s">
        <v>540</v>
      </c>
      <c r="D79" t="s">
        <v>61</v>
      </c>
      <c r="E79" t="s">
        <v>68</v>
      </c>
      <c r="F79" t="s">
        <v>139</v>
      </c>
      <c r="G79" t="s">
        <v>293</v>
      </c>
      <c r="H79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20-04-002-003</v>
      </c>
      <c r="I79" t="s">
        <v>1222</v>
      </c>
      <c r="J79" t="str">
        <f>VLOOKUP(Table22[[#This Row],[ID Karyawan]],[2]Sheet1!$B$4:$AC$363,13,FALSE)</f>
        <v>Produksi</v>
      </c>
    </row>
    <row r="80" spans="1:10" hidden="1">
      <c r="A80" s="2" t="s">
        <v>330</v>
      </c>
      <c r="B80" s="5" t="s">
        <v>331</v>
      </c>
      <c r="C80" t="s">
        <v>540</v>
      </c>
      <c r="D80" t="s">
        <v>61</v>
      </c>
      <c r="E80" t="s">
        <v>68</v>
      </c>
      <c r="F80" t="s">
        <v>139</v>
      </c>
      <c r="G80" t="s">
        <v>293</v>
      </c>
      <c r="H80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20-04-002-003</v>
      </c>
      <c r="I80" t="s">
        <v>1222</v>
      </c>
      <c r="J80" t="str">
        <f>VLOOKUP(Table22[[#This Row],[ID Karyawan]],[2]Sheet1!$B$4:$AC$363,13,FALSE)</f>
        <v>Produksi</v>
      </c>
    </row>
    <row r="81" spans="1:10" hidden="1">
      <c r="A81" s="2" t="s">
        <v>308</v>
      </c>
      <c r="B81" s="5" t="s">
        <v>333</v>
      </c>
      <c r="C81" t="s">
        <v>540</v>
      </c>
      <c r="D81" t="s">
        <v>61</v>
      </c>
      <c r="E81" t="s">
        <v>68</v>
      </c>
      <c r="F81" t="s">
        <v>139</v>
      </c>
      <c r="G81" t="s">
        <v>293</v>
      </c>
      <c r="H81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20-04-002-003</v>
      </c>
      <c r="I81" t="s">
        <v>1222</v>
      </c>
      <c r="J81" t="str">
        <f>VLOOKUP(Table22[[#This Row],[ID Karyawan]],[2]Sheet1!$B$4:$AC$363,13,FALSE)</f>
        <v>Produksi</v>
      </c>
    </row>
    <row r="82" spans="1:10" hidden="1">
      <c r="A82" s="2" t="s">
        <v>294</v>
      </c>
      <c r="B82" s="5" t="s">
        <v>295</v>
      </c>
      <c r="C82" t="s">
        <v>540</v>
      </c>
      <c r="D82" t="s">
        <v>61</v>
      </c>
      <c r="E82" t="s">
        <v>68</v>
      </c>
      <c r="F82" t="s">
        <v>139</v>
      </c>
      <c r="G82" t="s">
        <v>293</v>
      </c>
      <c r="H82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20-04-002-003</v>
      </c>
      <c r="I82" t="s">
        <v>1222</v>
      </c>
      <c r="J82" t="str">
        <f>VLOOKUP(Table22[[#This Row],[ID Karyawan]],[2]Sheet1!$B$4:$AC$363,13,FALSE)</f>
        <v>Produksi</v>
      </c>
    </row>
    <row r="83" spans="1:10" hidden="1">
      <c r="A83" s="2" t="s">
        <v>297</v>
      </c>
      <c r="B83" s="5" t="s">
        <v>298</v>
      </c>
      <c r="C83" t="s">
        <v>540</v>
      </c>
      <c r="D83" t="s">
        <v>61</v>
      </c>
      <c r="E83" t="s">
        <v>68</v>
      </c>
      <c r="F83" t="s">
        <v>139</v>
      </c>
      <c r="G83" t="s">
        <v>293</v>
      </c>
      <c r="H83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20-04-002-003</v>
      </c>
      <c r="I83" t="s">
        <v>1222</v>
      </c>
      <c r="J83" t="str">
        <f>VLOOKUP(Table22[[#This Row],[ID Karyawan]],[2]Sheet1!$B$4:$AC$363,13,FALSE)</f>
        <v>Produksi</v>
      </c>
    </row>
    <row r="84" spans="1:10" hidden="1">
      <c r="A84" s="2" t="s">
        <v>301</v>
      </c>
      <c r="B84" s="5" t="s">
        <v>302</v>
      </c>
      <c r="C84" t="s">
        <v>540</v>
      </c>
      <c r="D84" t="s">
        <v>61</v>
      </c>
      <c r="E84" t="s">
        <v>68</v>
      </c>
      <c r="F84" t="s">
        <v>139</v>
      </c>
      <c r="G84" t="s">
        <v>293</v>
      </c>
      <c r="H84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20-04-002-003</v>
      </c>
      <c r="I84" t="s">
        <v>1222</v>
      </c>
      <c r="J84" t="str">
        <f>VLOOKUP(Table22[[#This Row],[ID Karyawan]],[2]Sheet1!$B$4:$AC$363,13,FALSE)</f>
        <v>Produksi</v>
      </c>
    </row>
    <row r="85" spans="1:10" hidden="1">
      <c r="A85" s="2" t="s">
        <v>334</v>
      </c>
      <c r="B85" s="5" t="s">
        <v>335</v>
      </c>
      <c r="C85" t="s">
        <v>540</v>
      </c>
      <c r="D85" t="s">
        <v>61</v>
      </c>
      <c r="E85" t="s">
        <v>68</v>
      </c>
      <c r="F85" t="s">
        <v>139</v>
      </c>
      <c r="G85" t="s">
        <v>293</v>
      </c>
      <c r="H85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20-04-002-003</v>
      </c>
      <c r="I85" t="s">
        <v>1222</v>
      </c>
      <c r="J85" t="str">
        <f>VLOOKUP(Table22[[#This Row],[ID Karyawan]],[2]Sheet1!$B$4:$AC$363,13,FALSE)</f>
        <v>Produksi</v>
      </c>
    </row>
    <row r="86" spans="1:10" hidden="1">
      <c r="A86" s="2" t="s">
        <v>305</v>
      </c>
      <c r="B86" s="5" t="s">
        <v>306</v>
      </c>
      <c r="C86" t="s">
        <v>540</v>
      </c>
      <c r="D86" t="s">
        <v>61</v>
      </c>
      <c r="E86" t="s">
        <v>68</v>
      </c>
      <c r="F86" t="s">
        <v>139</v>
      </c>
      <c r="G86" t="s">
        <v>293</v>
      </c>
      <c r="H86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20-04-002-003</v>
      </c>
      <c r="I86" t="s">
        <v>1222</v>
      </c>
      <c r="J86" t="str">
        <f>VLOOKUP(Table22[[#This Row],[ID Karyawan]],[2]Sheet1!$B$4:$AC$363,13,FALSE)</f>
        <v>Produksi</v>
      </c>
    </row>
    <row r="87" spans="1:10" hidden="1">
      <c r="A87" s="2" t="s">
        <v>338</v>
      </c>
      <c r="B87" s="5" t="s">
        <v>339</v>
      </c>
      <c r="C87" t="s">
        <v>540</v>
      </c>
      <c r="D87" t="s">
        <v>61</v>
      </c>
      <c r="E87" t="s">
        <v>68</v>
      </c>
      <c r="F87" t="s">
        <v>139</v>
      </c>
      <c r="G87" t="s">
        <v>293</v>
      </c>
      <c r="H87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20-04-002-003</v>
      </c>
      <c r="I87" t="s">
        <v>1222</v>
      </c>
      <c r="J87" t="str">
        <f>VLOOKUP(Table22[[#This Row],[ID Karyawan]],[2]Sheet1!$B$4:$AC$363,13,FALSE)</f>
        <v>Produksi</v>
      </c>
    </row>
    <row r="88" spans="1:10" hidden="1">
      <c r="A88" s="2" t="s">
        <v>342</v>
      </c>
      <c r="B88" s="5" t="s">
        <v>343</v>
      </c>
      <c r="C88" t="s">
        <v>540</v>
      </c>
      <c r="D88" t="s">
        <v>61</v>
      </c>
      <c r="E88" t="s">
        <v>68</v>
      </c>
      <c r="F88" t="s">
        <v>139</v>
      </c>
      <c r="G88" t="s">
        <v>293</v>
      </c>
      <c r="H88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20-04-002-003</v>
      </c>
      <c r="I88" t="s">
        <v>1222</v>
      </c>
      <c r="J88" t="str">
        <f>VLOOKUP(Table22[[#This Row],[ID Karyawan]],[2]Sheet1!$B$4:$AC$363,13,FALSE)</f>
        <v>Produksi</v>
      </c>
    </row>
    <row r="89" spans="1:10" hidden="1">
      <c r="A89" s="2" t="s">
        <v>346</v>
      </c>
      <c r="B89" s="5" t="s">
        <v>347</v>
      </c>
      <c r="C89" t="s">
        <v>540</v>
      </c>
      <c r="D89" t="s">
        <v>61</v>
      </c>
      <c r="E89" t="s">
        <v>68</v>
      </c>
      <c r="F89" t="s">
        <v>139</v>
      </c>
      <c r="G89" t="s">
        <v>293</v>
      </c>
      <c r="H89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20-04-002-003</v>
      </c>
      <c r="I89" t="s">
        <v>1222</v>
      </c>
      <c r="J89" t="str">
        <f>VLOOKUP(Table22[[#This Row],[ID Karyawan]],[2]Sheet1!$B$4:$AC$363,13,FALSE)</f>
        <v>Produksi</v>
      </c>
    </row>
    <row r="90" spans="1:10" hidden="1">
      <c r="A90" s="2" t="s">
        <v>312</v>
      </c>
      <c r="B90" s="5" t="s">
        <v>350</v>
      </c>
      <c r="C90" t="s">
        <v>540</v>
      </c>
      <c r="D90" t="s">
        <v>61</v>
      </c>
      <c r="E90" t="s">
        <v>68</v>
      </c>
      <c r="F90" t="s">
        <v>139</v>
      </c>
      <c r="G90" t="s">
        <v>293</v>
      </c>
      <c r="H90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20-04-002-003</v>
      </c>
      <c r="I90" t="s">
        <v>1222</v>
      </c>
      <c r="J90" t="str">
        <f>VLOOKUP(Table22[[#This Row],[ID Karyawan]],[2]Sheet1!$B$4:$AC$363,13,FALSE)</f>
        <v>Produksi</v>
      </c>
    </row>
    <row r="91" spans="1:10" hidden="1">
      <c r="A91" s="2" t="s">
        <v>351</v>
      </c>
      <c r="B91" s="5" t="s">
        <v>352</v>
      </c>
      <c r="C91" t="s">
        <v>540</v>
      </c>
      <c r="D91" t="s">
        <v>61</v>
      </c>
      <c r="E91" t="s">
        <v>68</v>
      </c>
      <c r="F91" t="s">
        <v>139</v>
      </c>
      <c r="G91" t="s">
        <v>293</v>
      </c>
      <c r="H91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20-04-002-003</v>
      </c>
      <c r="I91" t="s">
        <v>1222</v>
      </c>
      <c r="J91" t="str">
        <f>VLOOKUP(Table22[[#This Row],[ID Karyawan]],[2]Sheet1!$B$4:$AC$363,13,FALSE)</f>
        <v>Produksi</v>
      </c>
    </row>
    <row r="92" spans="1:10" hidden="1">
      <c r="A92" s="2" t="s">
        <v>355</v>
      </c>
      <c r="B92" s="5" t="s">
        <v>356</v>
      </c>
      <c r="C92" t="s">
        <v>540</v>
      </c>
      <c r="D92" t="s">
        <v>61</v>
      </c>
      <c r="E92" t="s">
        <v>68</v>
      </c>
      <c r="F92" t="s">
        <v>139</v>
      </c>
      <c r="G92" t="s">
        <v>293</v>
      </c>
      <c r="H92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20-04-002-003</v>
      </c>
      <c r="I92" t="s">
        <v>1222</v>
      </c>
      <c r="J92" t="str">
        <f>VLOOKUP(Table22[[#This Row],[ID Karyawan]],[2]Sheet1!$B$4:$AC$363,13,FALSE)</f>
        <v>Produksi</v>
      </c>
    </row>
    <row r="93" spans="1:10" hidden="1">
      <c r="A93" s="2" t="s">
        <v>359</v>
      </c>
      <c r="B93" s="5" t="s">
        <v>360</v>
      </c>
      <c r="C93" t="s">
        <v>540</v>
      </c>
      <c r="D93" t="s">
        <v>61</v>
      </c>
      <c r="E93" t="s">
        <v>68</v>
      </c>
      <c r="F93" t="s">
        <v>139</v>
      </c>
      <c r="G93" t="s">
        <v>293</v>
      </c>
      <c r="H93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20-04-002-003</v>
      </c>
      <c r="I93" t="s">
        <v>1222</v>
      </c>
      <c r="J93" t="str">
        <f>VLOOKUP(Table22[[#This Row],[ID Karyawan]],[2]Sheet1!$B$4:$AC$363,13,FALSE)</f>
        <v>Produksi</v>
      </c>
    </row>
    <row r="94" spans="1:10" hidden="1">
      <c r="A94" s="2" t="s">
        <v>363</v>
      </c>
      <c r="B94" s="5" t="s">
        <v>364</v>
      </c>
      <c r="C94" t="s">
        <v>540</v>
      </c>
      <c r="D94" t="s">
        <v>61</v>
      </c>
      <c r="E94" t="s">
        <v>68</v>
      </c>
      <c r="F94" t="s">
        <v>139</v>
      </c>
      <c r="G94" t="s">
        <v>365</v>
      </c>
      <c r="H94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20-04-002-004</v>
      </c>
      <c r="I94" t="s">
        <v>1222</v>
      </c>
      <c r="J94" t="str">
        <f>VLOOKUP(Table22[[#This Row],[ID Karyawan]],[2]Sheet1!$B$4:$AC$363,13,FALSE)</f>
        <v>Produksi</v>
      </c>
    </row>
    <row r="95" spans="1:10" hidden="1">
      <c r="A95" s="2" t="s">
        <v>366</v>
      </c>
      <c r="B95" s="5" t="s">
        <v>367</v>
      </c>
      <c r="C95" t="s">
        <v>540</v>
      </c>
      <c r="D95" t="s">
        <v>61</v>
      </c>
      <c r="E95" t="s">
        <v>68</v>
      </c>
      <c r="F95" t="s">
        <v>139</v>
      </c>
      <c r="G95" t="s">
        <v>365</v>
      </c>
      <c r="H95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20-04-002-004</v>
      </c>
      <c r="I95" t="s">
        <v>1222</v>
      </c>
      <c r="J95" t="str">
        <f>VLOOKUP(Table22[[#This Row],[ID Karyawan]],[2]Sheet1!$B$4:$AC$363,13,FALSE)</f>
        <v>Produksi</v>
      </c>
    </row>
    <row r="96" spans="1:10" hidden="1">
      <c r="A96" s="2" t="s">
        <v>369</v>
      </c>
      <c r="B96" s="5" t="s">
        <v>370</v>
      </c>
      <c r="C96" t="s">
        <v>540</v>
      </c>
      <c r="D96" t="s">
        <v>61</v>
      </c>
      <c r="E96" t="s">
        <v>68</v>
      </c>
      <c r="F96" t="s">
        <v>139</v>
      </c>
      <c r="G96" t="s">
        <v>365</v>
      </c>
      <c r="H96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20-04-002-004</v>
      </c>
      <c r="I96" t="s">
        <v>1222</v>
      </c>
      <c r="J96" t="str">
        <f>VLOOKUP(Table22[[#This Row],[ID Karyawan]],[2]Sheet1!$B$4:$AC$363,13,FALSE)</f>
        <v>Produksi</v>
      </c>
    </row>
    <row r="97" spans="1:10" hidden="1">
      <c r="A97" s="2" t="s">
        <v>373</v>
      </c>
      <c r="B97" s="5" t="s">
        <v>374</v>
      </c>
      <c r="C97" t="s">
        <v>540</v>
      </c>
      <c r="D97" t="s">
        <v>61</v>
      </c>
      <c r="E97" t="s">
        <v>68</v>
      </c>
      <c r="F97" t="s">
        <v>139</v>
      </c>
      <c r="G97" t="s">
        <v>365</v>
      </c>
      <c r="H97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20-04-002-004</v>
      </c>
      <c r="I97" t="s">
        <v>1222</v>
      </c>
      <c r="J97" t="str">
        <f>VLOOKUP(Table22[[#This Row],[ID Karyawan]],[2]Sheet1!$B$4:$AC$363,13,FALSE)</f>
        <v>Produksi</v>
      </c>
    </row>
    <row r="98" spans="1:10" hidden="1">
      <c r="A98" s="2" t="s">
        <v>375</v>
      </c>
      <c r="B98" s="5" t="s">
        <v>376</v>
      </c>
      <c r="C98" t="s">
        <v>540</v>
      </c>
      <c r="D98" t="s">
        <v>61</v>
      </c>
      <c r="E98" t="s">
        <v>68</v>
      </c>
      <c r="F98" t="s">
        <v>139</v>
      </c>
      <c r="G98" t="s">
        <v>365</v>
      </c>
      <c r="H98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20-04-002-004</v>
      </c>
      <c r="I98" t="s">
        <v>1222</v>
      </c>
      <c r="J98" t="str">
        <f>VLOOKUP(Table22[[#This Row],[ID Karyawan]],[2]Sheet1!$B$4:$AC$363,13,FALSE)</f>
        <v>Produksi</v>
      </c>
    </row>
    <row r="99" spans="1:10" hidden="1">
      <c r="A99" s="2" t="s">
        <v>378</v>
      </c>
      <c r="B99" s="5" t="s">
        <v>379</v>
      </c>
      <c r="C99" t="s">
        <v>540</v>
      </c>
      <c r="D99" t="s">
        <v>61</v>
      </c>
      <c r="E99" t="s">
        <v>68</v>
      </c>
      <c r="F99" t="s">
        <v>139</v>
      </c>
      <c r="G99" t="s">
        <v>365</v>
      </c>
      <c r="H99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20-04-002-004</v>
      </c>
      <c r="I99" t="s">
        <v>1222</v>
      </c>
      <c r="J99" t="str">
        <f>VLOOKUP(Table22[[#This Row],[ID Karyawan]],[2]Sheet1!$B$4:$AC$363,13,FALSE)</f>
        <v>Produksi</v>
      </c>
    </row>
    <row r="100" spans="1:10" hidden="1">
      <c r="A100" s="2" t="s">
        <v>381</v>
      </c>
      <c r="B100" s="5" t="s">
        <v>382</v>
      </c>
      <c r="C100" t="s">
        <v>540</v>
      </c>
      <c r="D100" t="s">
        <v>61</v>
      </c>
      <c r="E100" t="s">
        <v>68</v>
      </c>
      <c r="F100" t="s">
        <v>139</v>
      </c>
      <c r="G100" t="s">
        <v>365</v>
      </c>
      <c r="H100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20-04-002-004</v>
      </c>
      <c r="I100" t="s">
        <v>1222</v>
      </c>
      <c r="J100" t="str">
        <f>VLOOKUP(Table22[[#This Row],[ID Karyawan]],[2]Sheet1!$B$4:$AC$363,13,FALSE)</f>
        <v>Produksi</v>
      </c>
    </row>
    <row r="101" spans="1:10" hidden="1">
      <c r="A101" s="2" t="s">
        <v>385</v>
      </c>
      <c r="B101" s="5" t="s">
        <v>386</v>
      </c>
      <c r="C101" t="s">
        <v>540</v>
      </c>
      <c r="D101" t="s">
        <v>61</v>
      </c>
      <c r="E101" t="s">
        <v>68</v>
      </c>
      <c r="F101" t="s">
        <v>139</v>
      </c>
      <c r="G101" t="s">
        <v>365</v>
      </c>
      <c r="H101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20-04-002-004</v>
      </c>
      <c r="I101" t="s">
        <v>1222</v>
      </c>
      <c r="J101" t="str">
        <f>VLOOKUP(Table22[[#This Row],[ID Karyawan]],[2]Sheet1!$B$4:$AC$363,13,FALSE)</f>
        <v>Produksi</v>
      </c>
    </row>
    <row r="102" spans="1:10">
      <c r="A102" s="2" t="s">
        <v>423</v>
      </c>
      <c r="B102" s="5" t="s">
        <v>424</v>
      </c>
      <c r="C102" t="s">
        <v>540</v>
      </c>
      <c r="D102" t="s">
        <v>61</v>
      </c>
      <c r="E102" t="s">
        <v>68</v>
      </c>
      <c r="F102" t="s">
        <v>403</v>
      </c>
      <c r="G102" t="s">
        <v>406</v>
      </c>
      <c r="H102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20-04-003-005</v>
      </c>
      <c r="I102" t="s">
        <v>1222</v>
      </c>
      <c r="J102" t="str">
        <f>VLOOKUP(Table22[[#This Row],[ID Karyawan]],[2]Sheet1!$B$4:$AC$363,13,FALSE)</f>
        <v>Produksi</v>
      </c>
    </row>
    <row r="103" spans="1:10">
      <c r="A103" s="2" t="s">
        <v>425</v>
      </c>
      <c r="B103" s="5" t="s">
        <v>426</v>
      </c>
      <c r="C103" t="s">
        <v>540</v>
      </c>
      <c r="D103" t="s">
        <v>61</v>
      </c>
      <c r="E103" t="s">
        <v>68</v>
      </c>
      <c r="F103" t="s">
        <v>403</v>
      </c>
      <c r="G103" t="s">
        <v>406</v>
      </c>
      <c r="H103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20-04-003-005</v>
      </c>
      <c r="I103" t="s">
        <v>1222</v>
      </c>
      <c r="J103" t="str">
        <f>VLOOKUP(Table22[[#This Row],[ID Karyawan]],[2]Sheet1!$B$4:$AC$363,13,FALSE)</f>
        <v>Produksi</v>
      </c>
    </row>
    <row r="104" spans="1:10" hidden="1">
      <c r="A104" s="2" t="s">
        <v>417</v>
      </c>
      <c r="B104" s="5" t="s">
        <v>418</v>
      </c>
      <c r="C104" t="s">
        <v>540</v>
      </c>
      <c r="D104" t="s">
        <v>61</v>
      </c>
      <c r="E104" t="s">
        <v>68</v>
      </c>
      <c r="F104" t="s">
        <v>139</v>
      </c>
      <c r="G104" t="s">
        <v>1223</v>
      </c>
      <c r="H104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20-04-002-006</v>
      </c>
      <c r="I104" t="s">
        <v>1222</v>
      </c>
      <c r="J104" t="str">
        <f>VLOOKUP(Table22[[#This Row],[ID Karyawan]],[2]Sheet1!$B$4:$AC$363,13,FALSE)</f>
        <v>Produksi</v>
      </c>
    </row>
    <row r="105" spans="1:10">
      <c r="A105" s="2" t="s">
        <v>465</v>
      </c>
      <c r="B105" s="5" t="s">
        <v>195</v>
      </c>
      <c r="C105" t="s">
        <v>540</v>
      </c>
      <c r="D105" t="s">
        <v>61</v>
      </c>
      <c r="E105" t="s">
        <v>68</v>
      </c>
      <c r="F105" t="s">
        <v>403</v>
      </c>
      <c r="H105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20-04-003-00</v>
      </c>
      <c r="I105" t="s">
        <v>1224</v>
      </c>
      <c r="J105" t="str">
        <f>VLOOKUP(Table22[[#This Row],[ID Karyawan]],[2]Sheet1!$B$4:$AC$363,13,FALSE)</f>
        <v>Produksi</v>
      </c>
    </row>
    <row r="106" spans="1:10">
      <c r="A106" s="2" t="s">
        <v>476</v>
      </c>
      <c r="B106" s="5" t="s">
        <v>477</v>
      </c>
      <c r="C106" t="s">
        <v>540</v>
      </c>
      <c r="D106" t="s">
        <v>61</v>
      </c>
      <c r="E106" t="s">
        <v>68</v>
      </c>
      <c r="F106" t="s">
        <v>403</v>
      </c>
      <c r="H106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20-04-003-00</v>
      </c>
      <c r="I106" t="s">
        <v>1224</v>
      </c>
      <c r="J106" t="str">
        <f>VLOOKUP(Table22[[#This Row],[ID Karyawan]],[2]Sheet1!$B$4:$AC$363,13,FALSE)</f>
        <v>Produksi</v>
      </c>
    </row>
    <row r="107" spans="1:10">
      <c r="A107" s="2" t="s">
        <v>474</v>
      </c>
      <c r="B107" s="5" t="s">
        <v>475</v>
      </c>
      <c r="C107" t="s">
        <v>540</v>
      </c>
      <c r="D107" t="s">
        <v>61</v>
      </c>
      <c r="E107" t="s">
        <v>68</v>
      </c>
      <c r="F107" t="s">
        <v>403</v>
      </c>
      <c r="H107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20-04-003-00</v>
      </c>
      <c r="I107" t="s">
        <v>1224</v>
      </c>
      <c r="J107" t="str">
        <f>VLOOKUP(Table22[[#This Row],[ID Karyawan]],[2]Sheet1!$B$4:$AC$363,13,FALSE)</f>
        <v>Produksi</v>
      </c>
    </row>
    <row r="108" spans="1:10">
      <c r="A108" s="2" t="s">
        <v>461</v>
      </c>
      <c r="B108" s="5" t="s">
        <v>462</v>
      </c>
      <c r="C108" t="s">
        <v>540</v>
      </c>
      <c r="D108" t="s">
        <v>61</v>
      </c>
      <c r="E108" t="s">
        <v>68</v>
      </c>
      <c r="F108" t="s">
        <v>403</v>
      </c>
      <c r="H108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20-04-003-00</v>
      </c>
      <c r="I108" t="s">
        <v>1224</v>
      </c>
      <c r="J108" t="str">
        <f>VLOOKUP(Table22[[#This Row],[ID Karyawan]],[2]Sheet1!$B$4:$AC$363,13,FALSE)</f>
        <v>Produksi</v>
      </c>
    </row>
    <row r="109" spans="1:10">
      <c r="A109" s="2" t="s">
        <v>484</v>
      </c>
      <c r="B109" s="5" t="s">
        <v>485</v>
      </c>
      <c r="C109" t="s">
        <v>540</v>
      </c>
      <c r="D109" t="s">
        <v>61</v>
      </c>
      <c r="E109" t="s">
        <v>68</v>
      </c>
      <c r="F109" t="s">
        <v>403</v>
      </c>
      <c r="H109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20-04-003-00</v>
      </c>
      <c r="I109" t="s">
        <v>1224</v>
      </c>
      <c r="J109" t="str">
        <f>VLOOKUP(Table22[[#This Row],[ID Karyawan]],[2]Sheet1!$B$4:$AC$363,13,FALSE)</f>
        <v>Produksi</v>
      </c>
    </row>
    <row r="110" spans="1:10">
      <c r="A110" s="2" t="s">
        <v>415</v>
      </c>
      <c r="B110" s="5" t="s">
        <v>416</v>
      </c>
      <c r="C110" t="s">
        <v>540</v>
      </c>
      <c r="D110" t="s">
        <v>61</v>
      </c>
      <c r="E110" t="s">
        <v>68</v>
      </c>
      <c r="F110" t="s">
        <v>403</v>
      </c>
      <c r="H110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20-04-003-00</v>
      </c>
      <c r="I110" t="s">
        <v>1224</v>
      </c>
      <c r="J110" t="str">
        <f>VLOOKUP(Table22[[#This Row],[ID Karyawan]],[2]Sheet1!$B$4:$AC$363,13,FALSE)</f>
        <v>Produksi</v>
      </c>
    </row>
    <row r="111" spans="1:10">
      <c r="A111" s="2" t="s">
        <v>472</v>
      </c>
      <c r="B111" s="5" t="s">
        <v>473</v>
      </c>
      <c r="C111" t="s">
        <v>540</v>
      </c>
      <c r="D111" t="s">
        <v>61</v>
      </c>
      <c r="E111" t="s">
        <v>68</v>
      </c>
      <c r="F111" t="s">
        <v>403</v>
      </c>
      <c r="H111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20-04-003-00</v>
      </c>
      <c r="I111" t="s">
        <v>1224</v>
      </c>
      <c r="J111" t="str">
        <f>VLOOKUP(Table22[[#This Row],[ID Karyawan]],[2]Sheet1!$B$4:$AC$363,13,FALSE)</f>
        <v>Produksi</v>
      </c>
    </row>
    <row r="112" spans="1:10">
      <c r="A112" s="2" t="s">
        <v>446</v>
      </c>
      <c r="B112" s="5" t="s">
        <v>447</v>
      </c>
      <c r="C112" t="s">
        <v>540</v>
      </c>
      <c r="D112" t="s">
        <v>61</v>
      </c>
      <c r="E112" t="s">
        <v>68</v>
      </c>
      <c r="F112" t="s">
        <v>403</v>
      </c>
      <c r="H112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20-04-003-00</v>
      </c>
      <c r="I112" t="s">
        <v>1224</v>
      </c>
      <c r="J112" t="str">
        <f>VLOOKUP(Table22[[#This Row],[ID Karyawan]],[2]Sheet1!$B$4:$AC$363,13,FALSE)</f>
        <v>Produksi</v>
      </c>
    </row>
    <row r="113" spans="1:10">
      <c r="A113" s="2" t="s">
        <v>437</v>
      </c>
      <c r="B113" s="5" t="s">
        <v>438</v>
      </c>
      <c r="C113" t="s">
        <v>540</v>
      </c>
      <c r="D113" t="s">
        <v>61</v>
      </c>
      <c r="E113" t="s">
        <v>68</v>
      </c>
      <c r="F113" t="s">
        <v>403</v>
      </c>
      <c r="H113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20-04-003-00</v>
      </c>
      <c r="I113" t="s">
        <v>1224</v>
      </c>
      <c r="J113" t="str">
        <f>VLOOKUP(Table22[[#This Row],[ID Karyawan]],[2]Sheet1!$B$4:$AC$363,13,FALSE)</f>
        <v>Produksi</v>
      </c>
    </row>
    <row r="114" spans="1:10">
      <c r="A114" s="2" t="s">
        <v>1225</v>
      </c>
      <c r="B114" s="5" t="s">
        <v>1226</v>
      </c>
      <c r="C114" t="s">
        <v>540</v>
      </c>
      <c r="D114" t="s">
        <v>61</v>
      </c>
      <c r="E114" t="s">
        <v>68</v>
      </c>
      <c r="F114" t="s">
        <v>403</v>
      </c>
      <c r="H114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20-04-003-00</v>
      </c>
      <c r="I114" t="s">
        <v>1224</v>
      </c>
      <c r="J114" t="e">
        <f>VLOOKUP(Table22[[#This Row],[ID Karyawan]],[2]Sheet1!$B$4:$AC$363,13,FALSE)</f>
        <v>#N/A</v>
      </c>
    </row>
    <row r="115" spans="1:10">
      <c r="A115" s="2" t="s">
        <v>439</v>
      </c>
      <c r="B115" s="5" t="s">
        <v>440</v>
      </c>
      <c r="C115" t="s">
        <v>540</v>
      </c>
      <c r="D115" t="s">
        <v>61</v>
      </c>
      <c r="E115" t="s">
        <v>68</v>
      </c>
      <c r="F115" t="s">
        <v>403</v>
      </c>
      <c r="H115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20-04-003-00</v>
      </c>
      <c r="I115" t="s">
        <v>1224</v>
      </c>
      <c r="J115" t="str">
        <f>VLOOKUP(Table22[[#This Row],[ID Karyawan]],[2]Sheet1!$B$4:$AC$363,13,FALSE)</f>
        <v>Produksi</v>
      </c>
    </row>
    <row r="116" spans="1:10">
      <c r="A116" s="2" t="s">
        <v>421</v>
      </c>
      <c r="B116" s="5" t="s">
        <v>422</v>
      </c>
      <c r="C116" t="s">
        <v>540</v>
      </c>
      <c r="D116" t="s">
        <v>61</v>
      </c>
      <c r="E116" t="s">
        <v>68</v>
      </c>
      <c r="F116" t="s">
        <v>403</v>
      </c>
      <c r="H116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20-04-003-00</v>
      </c>
      <c r="I116" t="s">
        <v>1224</v>
      </c>
      <c r="J116" t="str">
        <f>VLOOKUP(Table22[[#This Row],[ID Karyawan]],[2]Sheet1!$B$4:$AC$363,13,FALSE)</f>
        <v>Produksi</v>
      </c>
    </row>
    <row r="117" spans="1:10">
      <c r="A117" s="2" t="s">
        <v>444</v>
      </c>
      <c r="B117" s="5" t="s">
        <v>445</v>
      </c>
      <c r="C117" t="s">
        <v>540</v>
      </c>
      <c r="D117" t="s">
        <v>61</v>
      </c>
      <c r="E117" t="s">
        <v>68</v>
      </c>
      <c r="F117" t="s">
        <v>403</v>
      </c>
      <c r="H117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20-04-003-00</v>
      </c>
      <c r="I117" t="s">
        <v>1224</v>
      </c>
      <c r="J117" t="str">
        <f>VLOOKUP(Table22[[#This Row],[ID Karyawan]],[2]Sheet1!$B$4:$AC$363,13,FALSE)</f>
        <v>Produksi</v>
      </c>
    </row>
    <row r="118" spans="1:10">
      <c r="A118" s="2" t="s">
        <v>404</v>
      </c>
      <c r="B118" s="5" t="s">
        <v>405</v>
      </c>
      <c r="C118" t="s">
        <v>540</v>
      </c>
      <c r="D118" t="s">
        <v>61</v>
      </c>
      <c r="E118" t="s">
        <v>68</v>
      </c>
      <c r="F118" t="s">
        <v>403</v>
      </c>
      <c r="H118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20-04-003-00</v>
      </c>
      <c r="I118" t="s">
        <v>1224</v>
      </c>
      <c r="J118" t="str">
        <f>VLOOKUP(Table22[[#This Row],[ID Karyawan]],[2]Sheet1!$B$4:$AC$363,13,FALSE)</f>
        <v>Produksi</v>
      </c>
    </row>
    <row r="119" spans="1:10">
      <c r="A119" s="2" t="s">
        <v>419</v>
      </c>
      <c r="B119" s="5" t="s">
        <v>420</v>
      </c>
      <c r="C119" t="s">
        <v>540</v>
      </c>
      <c r="D119" t="s">
        <v>61</v>
      </c>
      <c r="E119" t="s">
        <v>68</v>
      </c>
      <c r="F119" t="s">
        <v>403</v>
      </c>
      <c r="H119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20-04-003-00</v>
      </c>
      <c r="I119" t="s">
        <v>1224</v>
      </c>
      <c r="J119" t="str">
        <f>VLOOKUP(Table22[[#This Row],[ID Karyawan]],[2]Sheet1!$B$4:$AC$363,13,FALSE)</f>
        <v>Produksi</v>
      </c>
    </row>
    <row r="120" spans="1:10">
      <c r="A120" s="2" t="s">
        <v>410</v>
      </c>
      <c r="B120" s="5" t="s">
        <v>411</v>
      </c>
      <c r="C120" t="s">
        <v>540</v>
      </c>
      <c r="D120" t="s">
        <v>61</v>
      </c>
      <c r="E120" t="s">
        <v>68</v>
      </c>
      <c r="F120" t="s">
        <v>403</v>
      </c>
      <c r="H120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20-04-003-00</v>
      </c>
      <c r="I120" t="s">
        <v>1224</v>
      </c>
      <c r="J120" t="str">
        <f>VLOOKUP(Table22[[#This Row],[ID Karyawan]],[2]Sheet1!$B$4:$AC$363,13,FALSE)</f>
        <v>Produksi</v>
      </c>
    </row>
    <row r="121" spans="1:10">
      <c r="A121" s="2" t="s">
        <v>433</v>
      </c>
      <c r="B121" s="5" t="s">
        <v>434</v>
      </c>
      <c r="C121" t="s">
        <v>540</v>
      </c>
      <c r="D121" t="s">
        <v>61</v>
      </c>
      <c r="E121" t="s">
        <v>68</v>
      </c>
      <c r="F121" t="s">
        <v>403</v>
      </c>
      <c r="H121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20-04-003-00</v>
      </c>
      <c r="I121" t="s">
        <v>1224</v>
      </c>
      <c r="J121" t="str">
        <f>VLOOKUP(Table22[[#This Row],[ID Karyawan]],[2]Sheet1!$B$4:$AC$363,13,FALSE)</f>
        <v>Produksi</v>
      </c>
    </row>
    <row r="122" spans="1:10">
      <c r="A122" s="2" t="s">
        <v>450</v>
      </c>
      <c r="B122" s="5" t="s">
        <v>451</v>
      </c>
      <c r="C122" t="s">
        <v>540</v>
      </c>
      <c r="D122" t="s">
        <v>61</v>
      </c>
      <c r="E122" t="s">
        <v>68</v>
      </c>
      <c r="F122" t="s">
        <v>403</v>
      </c>
      <c r="H122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20-04-003-00</v>
      </c>
      <c r="I122" t="s">
        <v>1224</v>
      </c>
      <c r="J122" t="str">
        <f>VLOOKUP(Table22[[#This Row],[ID Karyawan]],[2]Sheet1!$B$4:$AC$363,13,FALSE)</f>
        <v>Produksi</v>
      </c>
    </row>
    <row r="123" spans="1:10">
      <c r="A123" s="2" t="s">
        <v>441</v>
      </c>
      <c r="B123" s="5" t="s">
        <v>442</v>
      </c>
      <c r="C123" t="s">
        <v>540</v>
      </c>
      <c r="D123" t="s">
        <v>61</v>
      </c>
      <c r="E123" t="s">
        <v>68</v>
      </c>
      <c r="F123" t="s">
        <v>403</v>
      </c>
      <c r="H123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20-04-003-00</v>
      </c>
      <c r="I123" t="s">
        <v>1224</v>
      </c>
      <c r="J123" t="str">
        <f>VLOOKUP(Table22[[#This Row],[ID Karyawan]],[2]Sheet1!$B$4:$AC$363,13,FALSE)</f>
        <v>Produksi</v>
      </c>
    </row>
    <row r="124" spans="1:10">
      <c r="A124" s="2" t="s">
        <v>413</v>
      </c>
      <c r="B124" s="5" t="s">
        <v>414</v>
      </c>
      <c r="C124" t="s">
        <v>540</v>
      </c>
      <c r="D124" t="s">
        <v>61</v>
      </c>
      <c r="E124" t="s">
        <v>68</v>
      </c>
      <c r="F124" t="s">
        <v>403</v>
      </c>
      <c r="H124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20-04-003-00</v>
      </c>
      <c r="I124" t="s">
        <v>1224</v>
      </c>
      <c r="J124" t="str">
        <f>VLOOKUP(Table22[[#This Row],[ID Karyawan]],[2]Sheet1!$B$4:$AC$363,13,FALSE)</f>
        <v>Produksi</v>
      </c>
    </row>
    <row r="125" spans="1:10">
      <c r="A125" s="2" t="s">
        <v>431</v>
      </c>
      <c r="B125" s="5" t="s">
        <v>432</v>
      </c>
      <c r="C125" t="s">
        <v>540</v>
      </c>
      <c r="D125" t="s">
        <v>61</v>
      </c>
      <c r="E125" t="s">
        <v>68</v>
      </c>
      <c r="F125" t="s">
        <v>403</v>
      </c>
      <c r="H125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20-04-003-00</v>
      </c>
      <c r="I125" t="s">
        <v>1224</v>
      </c>
      <c r="J125" t="str">
        <f>VLOOKUP(Table22[[#This Row],[ID Karyawan]],[2]Sheet1!$B$4:$AC$363,13,FALSE)</f>
        <v>Produksi</v>
      </c>
    </row>
    <row r="126" spans="1:10">
      <c r="A126" s="2" t="s">
        <v>452</v>
      </c>
      <c r="B126" s="5" t="s">
        <v>453</v>
      </c>
      <c r="C126" t="s">
        <v>540</v>
      </c>
      <c r="D126" t="s">
        <v>61</v>
      </c>
      <c r="E126" t="s">
        <v>68</v>
      </c>
      <c r="F126" t="s">
        <v>403</v>
      </c>
      <c r="H126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20-04-003-00</v>
      </c>
      <c r="I126" t="s">
        <v>1224</v>
      </c>
      <c r="J126" t="str">
        <f>VLOOKUP(Table22[[#This Row],[ID Karyawan]],[2]Sheet1!$B$4:$AC$363,13,FALSE)</f>
        <v>Produksi</v>
      </c>
    </row>
    <row r="127" spans="1:10">
      <c r="A127" s="2" t="s">
        <v>448</v>
      </c>
      <c r="B127" s="5" t="s">
        <v>420</v>
      </c>
      <c r="C127" t="s">
        <v>540</v>
      </c>
      <c r="D127" t="s">
        <v>61</v>
      </c>
      <c r="E127" t="s">
        <v>68</v>
      </c>
      <c r="F127" t="s">
        <v>403</v>
      </c>
      <c r="H127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20-04-003-00</v>
      </c>
      <c r="I127" t="s">
        <v>1224</v>
      </c>
      <c r="J127" t="str">
        <f>VLOOKUP(Table22[[#This Row],[ID Karyawan]],[2]Sheet1!$B$4:$AC$363,13,FALSE)</f>
        <v>Produksi</v>
      </c>
    </row>
    <row r="128" spans="1:10">
      <c r="A128" s="2" t="s">
        <v>454</v>
      </c>
      <c r="B128" s="5" t="s">
        <v>333</v>
      </c>
      <c r="C128" t="s">
        <v>540</v>
      </c>
      <c r="D128" t="s">
        <v>61</v>
      </c>
      <c r="E128" t="s">
        <v>68</v>
      </c>
      <c r="F128" t="s">
        <v>403</v>
      </c>
      <c r="H128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20-04-003-00</v>
      </c>
      <c r="I128" t="s">
        <v>1224</v>
      </c>
      <c r="J128" t="str">
        <f>VLOOKUP(Table22[[#This Row],[ID Karyawan]],[2]Sheet1!$B$4:$AC$363,13,FALSE)</f>
        <v>Produksi</v>
      </c>
    </row>
    <row r="129" spans="1:10">
      <c r="A129" s="2" t="s">
        <v>455</v>
      </c>
      <c r="B129" s="5" t="s">
        <v>456</v>
      </c>
      <c r="C129" t="s">
        <v>540</v>
      </c>
      <c r="D129" t="s">
        <v>61</v>
      </c>
      <c r="E129" t="s">
        <v>68</v>
      </c>
      <c r="F129" t="s">
        <v>403</v>
      </c>
      <c r="H129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20-04-003-00</v>
      </c>
      <c r="I129" t="s">
        <v>1224</v>
      </c>
      <c r="J129" t="str">
        <f>VLOOKUP(Table22[[#This Row],[ID Karyawan]],[2]Sheet1!$B$4:$AC$363,13,FALSE)</f>
        <v>Produksi</v>
      </c>
    </row>
    <row r="130" spans="1:10">
      <c r="A130" s="2" t="s">
        <v>480</v>
      </c>
      <c r="B130" s="5" t="s">
        <v>481</v>
      </c>
      <c r="C130" t="s">
        <v>540</v>
      </c>
      <c r="D130" t="s">
        <v>61</v>
      </c>
      <c r="E130" t="s">
        <v>68</v>
      </c>
      <c r="F130" t="s">
        <v>403</v>
      </c>
      <c r="H130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20-04-003-00</v>
      </c>
      <c r="I130" t="s">
        <v>1224</v>
      </c>
      <c r="J130" t="str">
        <f>VLOOKUP(Table22[[#This Row],[ID Karyawan]],[2]Sheet1!$B$4:$AC$363,13,FALSE)</f>
        <v>Produksi</v>
      </c>
    </row>
    <row r="131" spans="1:10">
      <c r="A131" s="2" t="s">
        <v>468</v>
      </c>
      <c r="B131" s="5" t="s">
        <v>469</v>
      </c>
      <c r="C131" t="s">
        <v>540</v>
      </c>
      <c r="D131" t="s">
        <v>61</v>
      </c>
      <c r="E131" t="s">
        <v>68</v>
      </c>
      <c r="F131" t="s">
        <v>403</v>
      </c>
      <c r="H131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20-04-003-00</v>
      </c>
      <c r="I131" t="s">
        <v>1224</v>
      </c>
      <c r="J131" t="str">
        <f>VLOOKUP(Table22[[#This Row],[ID Karyawan]],[2]Sheet1!$B$4:$AC$363,13,FALSE)</f>
        <v>Produksi</v>
      </c>
    </row>
    <row r="132" spans="1:10">
      <c r="A132" s="2" t="s">
        <v>457</v>
      </c>
      <c r="B132" s="5" t="s">
        <v>458</v>
      </c>
      <c r="C132" t="s">
        <v>540</v>
      </c>
      <c r="D132" t="s">
        <v>61</v>
      </c>
      <c r="E132" t="s">
        <v>68</v>
      </c>
      <c r="F132" t="s">
        <v>403</v>
      </c>
      <c r="H132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20-04-003-00</v>
      </c>
      <c r="I132" t="s">
        <v>1224</v>
      </c>
      <c r="J132" t="str">
        <f>VLOOKUP(Table22[[#This Row],[ID Karyawan]],[2]Sheet1!$B$4:$AC$363,13,FALSE)</f>
        <v>Produksi</v>
      </c>
    </row>
    <row r="133" spans="1:10">
      <c r="A133" s="2" t="s">
        <v>401</v>
      </c>
      <c r="B133" s="5" t="s">
        <v>402</v>
      </c>
      <c r="C133" t="s">
        <v>71</v>
      </c>
      <c r="D133" t="s">
        <v>61</v>
      </c>
      <c r="E133" t="s">
        <v>68</v>
      </c>
      <c r="F133" t="s">
        <v>403</v>
      </c>
      <c r="H133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20-04-003-00</v>
      </c>
      <c r="I133" t="s">
        <v>1220</v>
      </c>
      <c r="J133" t="str">
        <f>VLOOKUP(Table22[[#This Row],[ID Karyawan]],[2]Sheet1!$B$4:$AC$363,13,FALSE)</f>
        <v>Produksi</v>
      </c>
    </row>
    <row r="134" spans="1:10">
      <c r="A134" s="2" t="s">
        <v>1227</v>
      </c>
      <c r="B134" s="5" t="s">
        <v>1228</v>
      </c>
      <c r="C134" t="s">
        <v>702</v>
      </c>
      <c r="D134" t="s">
        <v>61</v>
      </c>
      <c r="E134" t="s">
        <v>68</v>
      </c>
      <c r="F134" t="s">
        <v>403</v>
      </c>
      <c r="H134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20-04-003-00</v>
      </c>
      <c r="I134" t="s">
        <v>1224</v>
      </c>
      <c r="J134" t="str">
        <f>VLOOKUP(Table22[[#This Row],[ID Karyawan]],[2]Sheet1!$B$4:$AC$363,13,FALSE)</f>
        <v>Produksi</v>
      </c>
    </row>
    <row r="135" spans="1:10">
      <c r="A135" s="2" t="s">
        <v>470</v>
      </c>
      <c r="B135" s="5" t="s">
        <v>70</v>
      </c>
      <c r="D135" t="s">
        <v>61</v>
      </c>
      <c r="E135" t="s">
        <v>68</v>
      </c>
      <c r="F135" t="s">
        <v>403</v>
      </c>
      <c r="H135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20-04-003-00</v>
      </c>
      <c r="I135" t="s">
        <v>1224</v>
      </c>
      <c r="J135" t="str">
        <f>VLOOKUP(Table22[[#This Row],[ID Karyawan]],[2]Sheet1!$B$4:$AC$363,13,FALSE)</f>
        <v>Produksi</v>
      </c>
    </row>
    <row r="136" spans="1:10">
      <c r="A136" s="4" t="s">
        <v>1213</v>
      </c>
      <c r="B136" s="5" t="s">
        <v>1214</v>
      </c>
      <c r="D136" t="s">
        <v>61</v>
      </c>
      <c r="E136" t="s">
        <v>68</v>
      </c>
      <c r="F136" t="s">
        <v>403</v>
      </c>
      <c r="H136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20-04-003-00</v>
      </c>
      <c r="I136" t="s">
        <v>1224</v>
      </c>
      <c r="J136" t="str">
        <f>VLOOKUP(Table22[[#This Row],[ID Karyawan]],[2]Sheet1!$B$4:$AC$363,13,FALSE)</f>
        <v>Produksi</v>
      </c>
    </row>
    <row r="137" spans="1:10" hidden="1">
      <c r="A137" s="2" t="s">
        <v>536</v>
      </c>
      <c r="B137" s="5" t="s">
        <v>537</v>
      </c>
      <c r="C137" t="s">
        <v>540</v>
      </c>
      <c r="D137" t="s">
        <v>61</v>
      </c>
      <c r="E137" t="s">
        <v>68</v>
      </c>
      <c r="F137" t="s">
        <v>493</v>
      </c>
      <c r="H137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20-04-004-00</v>
      </c>
      <c r="I137" t="s">
        <v>1220</v>
      </c>
      <c r="J137" t="str">
        <f>VLOOKUP(Table22[[#This Row],[ID Karyawan]],[2]Sheet1!$B$4:$AC$363,13,FALSE)</f>
        <v>Produksi</v>
      </c>
    </row>
    <row r="138" spans="1:10" hidden="1">
      <c r="A138" s="2" t="s">
        <v>521</v>
      </c>
      <c r="B138" s="5" t="s">
        <v>522</v>
      </c>
      <c r="C138" t="s">
        <v>540</v>
      </c>
      <c r="D138" t="s">
        <v>61</v>
      </c>
      <c r="E138" t="s">
        <v>68</v>
      </c>
      <c r="F138" t="s">
        <v>493</v>
      </c>
      <c r="H138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20-04-004-00</v>
      </c>
      <c r="I138" t="s">
        <v>1220</v>
      </c>
      <c r="J138" t="str">
        <f>VLOOKUP(Table22[[#This Row],[ID Karyawan]],[2]Sheet1!$B$4:$AC$363,13,FALSE)</f>
        <v>Produksi</v>
      </c>
    </row>
    <row r="139" spans="1:10" hidden="1">
      <c r="A139" s="2" t="s">
        <v>491</v>
      </c>
      <c r="B139" s="5" t="s">
        <v>492</v>
      </c>
      <c r="C139" t="s">
        <v>71</v>
      </c>
      <c r="D139" t="s">
        <v>61</v>
      </c>
      <c r="E139" t="s">
        <v>68</v>
      </c>
      <c r="F139" t="s">
        <v>493</v>
      </c>
      <c r="H139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20-04-004-00</v>
      </c>
      <c r="I139" t="s">
        <v>1220</v>
      </c>
      <c r="J139" t="str">
        <f>VLOOKUP(Table22[[#This Row],[ID Karyawan]],[2]Sheet1!$B$4:$AC$363,13,FALSE)</f>
        <v>Produksi</v>
      </c>
    </row>
    <row r="140" spans="1:10" hidden="1">
      <c r="A140" s="2" t="s">
        <v>496</v>
      </c>
      <c r="B140" s="5" t="s">
        <v>497</v>
      </c>
      <c r="C140" t="s">
        <v>540</v>
      </c>
      <c r="D140" t="s">
        <v>61</v>
      </c>
      <c r="E140" t="s">
        <v>68</v>
      </c>
      <c r="F140" t="s">
        <v>493</v>
      </c>
      <c r="H140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20-04-004-00</v>
      </c>
      <c r="I140" t="s">
        <v>1229</v>
      </c>
      <c r="J140" t="str">
        <f>VLOOKUP(Table22[[#This Row],[ID Karyawan]],[2]Sheet1!$B$4:$AC$363,13,FALSE)</f>
        <v>Produksi</v>
      </c>
    </row>
    <row r="141" spans="1:10" hidden="1">
      <c r="A141" s="2" t="s">
        <v>525</v>
      </c>
      <c r="B141" s="5" t="s">
        <v>526</v>
      </c>
      <c r="C141" t="s">
        <v>540</v>
      </c>
      <c r="D141" t="s">
        <v>61</v>
      </c>
      <c r="E141" t="s">
        <v>68</v>
      </c>
      <c r="F141" t="s">
        <v>493</v>
      </c>
      <c r="H141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20-04-004-00</v>
      </c>
      <c r="I141" t="s">
        <v>1229</v>
      </c>
      <c r="J141" t="str">
        <f>VLOOKUP(Table22[[#This Row],[ID Karyawan]],[2]Sheet1!$B$4:$AC$363,13,FALSE)</f>
        <v>Produksi</v>
      </c>
    </row>
    <row r="142" spans="1:10" hidden="1">
      <c r="A142" s="2" t="s">
        <v>511</v>
      </c>
      <c r="B142" s="5" t="s">
        <v>512</v>
      </c>
      <c r="C142" t="s">
        <v>540</v>
      </c>
      <c r="D142" t="s">
        <v>61</v>
      </c>
      <c r="E142" t="s">
        <v>68</v>
      </c>
      <c r="F142" t="s">
        <v>493</v>
      </c>
      <c r="H142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20-04-004-00</v>
      </c>
      <c r="I142" t="s">
        <v>1229</v>
      </c>
      <c r="J142" t="str">
        <f>VLOOKUP(Table22[[#This Row],[ID Karyawan]],[2]Sheet1!$B$4:$AC$363,13,FALSE)</f>
        <v>Produksi</v>
      </c>
    </row>
    <row r="143" spans="1:10" hidden="1">
      <c r="A143" s="2" t="s">
        <v>518</v>
      </c>
      <c r="B143" s="5" t="s">
        <v>519</v>
      </c>
      <c r="C143" t="s">
        <v>540</v>
      </c>
      <c r="D143" t="s">
        <v>61</v>
      </c>
      <c r="E143" t="s">
        <v>68</v>
      </c>
      <c r="F143" t="s">
        <v>493</v>
      </c>
      <c r="H143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20-04-004-00</v>
      </c>
      <c r="I143" t="s">
        <v>1229</v>
      </c>
      <c r="J143" t="str">
        <f>VLOOKUP(Table22[[#This Row],[ID Karyawan]],[2]Sheet1!$B$4:$AC$363,13,FALSE)</f>
        <v>Produksi</v>
      </c>
    </row>
    <row r="144" spans="1:10" hidden="1">
      <c r="A144" s="2" t="s">
        <v>500</v>
      </c>
      <c r="B144" s="5" t="s">
        <v>501</v>
      </c>
      <c r="C144" t="s">
        <v>540</v>
      </c>
      <c r="D144" t="s">
        <v>61</v>
      </c>
      <c r="E144" t="s">
        <v>68</v>
      </c>
      <c r="F144" t="s">
        <v>493</v>
      </c>
      <c r="H144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20-04-004-00</v>
      </c>
      <c r="I144" t="s">
        <v>1229</v>
      </c>
      <c r="J144" t="str">
        <f>VLOOKUP(Table22[[#This Row],[ID Karyawan]],[2]Sheet1!$B$4:$AC$363,13,FALSE)</f>
        <v>Produksi</v>
      </c>
    </row>
    <row r="145" spans="1:10" hidden="1">
      <c r="A145" s="2" t="s">
        <v>529</v>
      </c>
      <c r="B145" s="5" t="s">
        <v>530</v>
      </c>
      <c r="C145" t="s">
        <v>540</v>
      </c>
      <c r="D145" t="s">
        <v>61</v>
      </c>
      <c r="E145" t="s">
        <v>68</v>
      </c>
      <c r="F145" t="s">
        <v>493</v>
      </c>
      <c r="H145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20-04-004-00</v>
      </c>
      <c r="I145" t="s">
        <v>1229</v>
      </c>
      <c r="J145" t="str">
        <f>VLOOKUP(Table22[[#This Row],[ID Karyawan]],[2]Sheet1!$B$4:$AC$363,13,FALSE)</f>
        <v>Produksi</v>
      </c>
    </row>
    <row r="146" spans="1:10" hidden="1">
      <c r="A146" s="2" t="s">
        <v>531</v>
      </c>
      <c r="B146" s="5" t="s">
        <v>532</v>
      </c>
      <c r="C146" t="s">
        <v>540</v>
      </c>
      <c r="D146" t="s">
        <v>61</v>
      </c>
      <c r="E146" t="s">
        <v>68</v>
      </c>
      <c r="F146" t="s">
        <v>493</v>
      </c>
      <c r="H146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20-04-004-00</v>
      </c>
      <c r="I146" t="s">
        <v>1229</v>
      </c>
      <c r="J146" t="str">
        <f>VLOOKUP(Table22[[#This Row],[ID Karyawan]],[2]Sheet1!$B$4:$AC$363,13,FALSE)</f>
        <v>Produksi</v>
      </c>
    </row>
    <row r="147" spans="1:10" hidden="1">
      <c r="A147" s="2" t="s">
        <v>533</v>
      </c>
      <c r="B147" s="5" t="s">
        <v>534</v>
      </c>
      <c r="C147" t="s">
        <v>540</v>
      </c>
      <c r="D147" t="s">
        <v>61</v>
      </c>
      <c r="E147" t="s">
        <v>68</v>
      </c>
      <c r="F147" t="s">
        <v>493</v>
      </c>
      <c r="H147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20-04-004-00</v>
      </c>
      <c r="I147" t="s">
        <v>1229</v>
      </c>
      <c r="J147" t="str">
        <f>VLOOKUP(Table22[[#This Row],[ID Karyawan]],[2]Sheet1!$B$4:$AC$363,13,FALSE)</f>
        <v>Produksi</v>
      </c>
    </row>
    <row r="148" spans="1:10" hidden="1">
      <c r="A148" s="2" t="s">
        <v>504</v>
      </c>
      <c r="B148" s="5" t="s">
        <v>505</v>
      </c>
      <c r="C148" t="s">
        <v>540</v>
      </c>
      <c r="D148" t="s">
        <v>61</v>
      </c>
      <c r="E148" t="s">
        <v>68</v>
      </c>
      <c r="F148" t="s">
        <v>493</v>
      </c>
      <c r="H148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20-04-004-00</v>
      </c>
      <c r="I148" t="s">
        <v>1229</v>
      </c>
      <c r="J148" t="str">
        <f>VLOOKUP(Table22[[#This Row],[ID Karyawan]],[2]Sheet1!$B$4:$AC$363,13,FALSE)</f>
        <v>Produksi</v>
      </c>
    </row>
    <row r="149" spans="1:10" hidden="1">
      <c r="A149" s="2" t="s">
        <v>508</v>
      </c>
      <c r="B149" s="5" t="s">
        <v>509</v>
      </c>
      <c r="C149" t="s">
        <v>540</v>
      </c>
      <c r="D149" t="s">
        <v>61</v>
      </c>
      <c r="E149" t="s">
        <v>68</v>
      </c>
      <c r="F149" t="s">
        <v>493</v>
      </c>
      <c r="H149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20-04-004-00</v>
      </c>
      <c r="I149" t="s">
        <v>1229</v>
      </c>
      <c r="J149" t="str">
        <f>VLOOKUP(Table22[[#This Row],[ID Karyawan]],[2]Sheet1!$B$4:$AC$363,13,FALSE)</f>
        <v>Produksi</v>
      </c>
    </row>
    <row r="150" spans="1:10" hidden="1">
      <c r="A150" s="2" t="s">
        <v>688</v>
      </c>
      <c r="B150" s="5" t="s">
        <v>689</v>
      </c>
      <c r="C150" t="s">
        <v>540</v>
      </c>
      <c r="D150" t="s">
        <v>61</v>
      </c>
      <c r="E150" t="s">
        <v>68</v>
      </c>
      <c r="F150" t="s">
        <v>691</v>
      </c>
      <c r="H150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20-04-007-00</v>
      </c>
      <c r="I150" t="s">
        <v>1230</v>
      </c>
      <c r="J150" t="str">
        <f>VLOOKUP(Table22[[#This Row],[ID Karyawan]],[2]Sheet1!$B$4:$AC$363,13,FALSE)</f>
        <v>Produksi</v>
      </c>
    </row>
    <row r="151" spans="1:10" hidden="1">
      <c r="A151" s="2" t="s">
        <v>698</v>
      </c>
      <c r="B151" s="5" t="s">
        <v>699</v>
      </c>
      <c r="C151" t="s">
        <v>540</v>
      </c>
      <c r="D151" t="s">
        <v>61</v>
      </c>
      <c r="E151" t="s">
        <v>68</v>
      </c>
      <c r="F151" t="s">
        <v>691</v>
      </c>
      <c r="H151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20-04-007-00</v>
      </c>
      <c r="I151" t="s">
        <v>1230</v>
      </c>
      <c r="J151" t="str">
        <f>VLOOKUP(Table22[[#This Row],[ID Karyawan]],[2]Sheet1!$B$4:$AC$363,13,FALSE)</f>
        <v>Produksi</v>
      </c>
    </row>
    <row r="152" spans="1:10" hidden="1">
      <c r="A152" s="2" t="s">
        <v>694</v>
      </c>
      <c r="B152" s="5" t="s">
        <v>695</v>
      </c>
      <c r="C152" t="s">
        <v>540</v>
      </c>
      <c r="D152" t="s">
        <v>61</v>
      </c>
      <c r="E152" t="s">
        <v>68</v>
      </c>
      <c r="F152" t="s">
        <v>691</v>
      </c>
      <c r="H152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20-04-007-00</v>
      </c>
      <c r="I152" t="s">
        <v>1230</v>
      </c>
      <c r="J152" t="str">
        <f>VLOOKUP(Table22[[#This Row],[ID Karyawan]],[2]Sheet1!$B$4:$AC$363,13,FALSE)</f>
        <v>Produksi</v>
      </c>
    </row>
    <row r="153" spans="1:10" hidden="1">
      <c r="A153" t="s">
        <v>549</v>
      </c>
      <c r="B153" t="s">
        <v>1231</v>
      </c>
      <c r="C153" t="s">
        <v>551</v>
      </c>
      <c r="D153" t="s">
        <v>61</v>
      </c>
      <c r="E153" t="s">
        <v>552</v>
      </c>
      <c r="H153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20-05-000-00</v>
      </c>
      <c r="I153" t="s">
        <v>1220</v>
      </c>
      <c r="J153" t="str">
        <f>VLOOKUP(Table22[[#This Row],[ID Karyawan]],[2]Sheet1!$B$4:$AC$363,13,FALSE)</f>
        <v>Produksi</v>
      </c>
    </row>
    <row r="154" spans="1:10" hidden="1">
      <c r="A154" t="s">
        <v>555</v>
      </c>
      <c r="B154" t="s">
        <v>556</v>
      </c>
      <c r="C154" t="s">
        <v>551</v>
      </c>
      <c r="D154" t="s">
        <v>61</v>
      </c>
      <c r="E154" t="s">
        <v>552</v>
      </c>
      <c r="H154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20-05-000-00</v>
      </c>
      <c r="I154" t="s">
        <v>1220</v>
      </c>
      <c r="J154" t="str">
        <f>VLOOKUP(Table22[[#This Row],[ID Karyawan]],[2]Sheet1!$B$4:$AC$363,13,FALSE)</f>
        <v>Teknik</v>
      </c>
    </row>
    <row r="155" spans="1:10" hidden="1">
      <c r="A155" t="s">
        <v>563</v>
      </c>
      <c r="B155" s="5" t="s">
        <v>564</v>
      </c>
      <c r="C155" t="s">
        <v>71</v>
      </c>
      <c r="D155" t="s">
        <v>61</v>
      </c>
      <c r="E155" t="s">
        <v>552</v>
      </c>
      <c r="H155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20-05-000-00</v>
      </c>
      <c r="I155" t="s">
        <v>1230</v>
      </c>
      <c r="J155" t="str">
        <f>VLOOKUP(Table22[[#This Row],[ID Karyawan]],[2]Sheet1!$B$4:$AC$363,13,FALSE)</f>
        <v>Teknik</v>
      </c>
    </row>
    <row r="156" spans="1:10" hidden="1">
      <c r="A156" t="s">
        <v>558</v>
      </c>
      <c r="B156" s="5" t="s">
        <v>559</v>
      </c>
      <c r="C156" t="s">
        <v>71</v>
      </c>
      <c r="D156" t="s">
        <v>61</v>
      </c>
      <c r="E156" t="s">
        <v>552</v>
      </c>
      <c r="H156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20-05-000-00</v>
      </c>
      <c r="I156" t="s">
        <v>1230</v>
      </c>
      <c r="J156" t="str">
        <f>VLOOKUP(Table22[[#This Row],[ID Karyawan]],[2]Sheet1!$B$4:$AC$363,13,FALSE)</f>
        <v>Teknik</v>
      </c>
    </row>
    <row r="157" spans="1:10" hidden="1">
      <c r="A157" t="s">
        <v>700</v>
      </c>
      <c r="B157" s="5" t="s">
        <v>1232</v>
      </c>
      <c r="C157" t="s">
        <v>702</v>
      </c>
      <c r="D157" t="s">
        <v>61</v>
      </c>
      <c r="E157" t="s">
        <v>552</v>
      </c>
      <c r="H157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20-05-000-00</v>
      </c>
      <c r="I157" t="s">
        <v>1230</v>
      </c>
      <c r="J157" t="str">
        <f>VLOOKUP(Table22[[#This Row],[ID Karyawan]],[2]Sheet1!$B$4:$AC$363,13,FALSE)</f>
        <v>Teknik</v>
      </c>
    </row>
    <row r="158" spans="1:10" hidden="1">
      <c r="A158" t="s">
        <v>1233</v>
      </c>
      <c r="B158" s="5" t="s">
        <v>1234</v>
      </c>
      <c r="D158" t="s">
        <v>61</v>
      </c>
      <c r="E158" t="s">
        <v>552</v>
      </c>
      <c r="H158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20-05-000-00</v>
      </c>
      <c r="J158" t="str">
        <f>VLOOKUP(Table22[[#This Row],[ID Karyawan]],[2]Sheet1!$B$4:$AC$363,13,FALSE)</f>
        <v>Teknik</v>
      </c>
    </row>
    <row r="159" spans="1:10" hidden="1">
      <c r="A159" t="s">
        <v>645</v>
      </c>
      <c r="B159" s="5" t="s">
        <v>646</v>
      </c>
      <c r="C159" t="s">
        <v>540</v>
      </c>
      <c r="D159" t="s">
        <v>61</v>
      </c>
      <c r="E159" t="s">
        <v>552</v>
      </c>
      <c r="F159" t="s">
        <v>567</v>
      </c>
      <c r="H159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20-05-000-00</v>
      </c>
      <c r="I159" t="s">
        <v>1230</v>
      </c>
      <c r="J159" t="str">
        <f>VLOOKUP(Table22[[#This Row],[ID Karyawan]],[2]Sheet1!$B$4:$AC$363,13,FALSE)</f>
        <v>Teknik</v>
      </c>
    </row>
    <row r="160" spans="1:10" hidden="1">
      <c r="A160" t="s">
        <v>565</v>
      </c>
      <c r="B160" s="5" t="s">
        <v>566</v>
      </c>
      <c r="C160" t="s">
        <v>540</v>
      </c>
      <c r="D160" t="s">
        <v>61</v>
      </c>
      <c r="E160" t="s">
        <v>552</v>
      </c>
      <c r="F160" t="s">
        <v>567</v>
      </c>
      <c r="H160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20-05-000-00</v>
      </c>
      <c r="I160" t="s">
        <v>1230</v>
      </c>
      <c r="J160" t="str">
        <f>VLOOKUP(Table22[[#This Row],[ID Karyawan]],[2]Sheet1!$B$4:$AC$363,13,FALSE)</f>
        <v>Teknik</v>
      </c>
    </row>
    <row r="161" spans="1:10" hidden="1">
      <c r="A161" t="s">
        <v>625</v>
      </c>
      <c r="B161" s="5" t="s">
        <v>626</v>
      </c>
      <c r="C161" t="s">
        <v>540</v>
      </c>
      <c r="D161" t="s">
        <v>61</v>
      </c>
      <c r="E161" t="s">
        <v>552</v>
      </c>
      <c r="F161" t="s">
        <v>567</v>
      </c>
      <c r="H161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20-05-000-00</v>
      </c>
      <c r="I161" t="s">
        <v>1230</v>
      </c>
      <c r="J161" t="str">
        <f>VLOOKUP(Table22[[#This Row],[ID Karyawan]],[2]Sheet1!$B$4:$AC$363,13,FALSE)</f>
        <v>Teknik</v>
      </c>
    </row>
    <row r="162" spans="1:10" hidden="1">
      <c r="A162" t="s">
        <v>651</v>
      </c>
      <c r="B162" s="5" t="s">
        <v>652</v>
      </c>
      <c r="C162" t="s">
        <v>540</v>
      </c>
      <c r="D162" t="s">
        <v>61</v>
      </c>
      <c r="E162" t="s">
        <v>552</v>
      </c>
      <c r="F162" t="s">
        <v>567</v>
      </c>
      <c r="H162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20-05-000-00</v>
      </c>
      <c r="I162" t="s">
        <v>1230</v>
      </c>
      <c r="J162" t="str">
        <f>VLOOKUP(Table22[[#This Row],[ID Karyawan]],[2]Sheet1!$B$4:$AC$363,13,FALSE)</f>
        <v>Teknik</v>
      </c>
    </row>
    <row r="163" spans="1:10" hidden="1">
      <c r="A163" t="s">
        <v>669</v>
      </c>
      <c r="B163" s="5" t="s">
        <v>670</v>
      </c>
      <c r="C163" t="s">
        <v>540</v>
      </c>
      <c r="D163" t="s">
        <v>61</v>
      </c>
      <c r="E163" t="s">
        <v>552</v>
      </c>
      <c r="F163" t="s">
        <v>567</v>
      </c>
      <c r="H163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20-05-000-00</v>
      </c>
      <c r="I163" t="s">
        <v>1230</v>
      </c>
      <c r="J163" t="str">
        <f>VLOOKUP(Table22[[#This Row],[ID Karyawan]],[2]Sheet1!$B$4:$AC$363,13,FALSE)</f>
        <v>Teknik</v>
      </c>
    </row>
    <row r="164" spans="1:10" hidden="1">
      <c r="A164" t="s">
        <v>672</v>
      </c>
      <c r="B164" s="5" t="s">
        <v>673</v>
      </c>
      <c r="C164" t="s">
        <v>540</v>
      </c>
      <c r="D164" t="s">
        <v>61</v>
      </c>
      <c r="E164" t="s">
        <v>552</v>
      </c>
      <c r="F164" t="s">
        <v>567</v>
      </c>
      <c r="H164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20-05-000-00</v>
      </c>
      <c r="I164" t="s">
        <v>1230</v>
      </c>
      <c r="J164" t="str">
        <f>VLOOKUP(Table22[[#This Row],[ID Karyawan]],[2]Sheet1!$B$4:$AC$363,13,FALSE)</f>
        <v>Teknik</v>
      </c>
    </row>
    <row r="165" spans="1:10" hidden="1">
      <c r="A165" t="s">
        <v>665</v>
      </c>
      <c r="B165" s="5" t="s">
        <v>666</v>
      </c>
      <c r="C165" t="s">
        <v>540</v>
      </c>
      <c r="D165" t="s">
        <v>61</v>
      </c>
      <c r="E165" t="s">
        <v>552</v>
      </c>
      <c r="F165" t="s">
        <v>567</v>
      </c>
      <c r="H165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20-05-000-00</v>
      </c>
      <c r="I165" t="s">
        <v>1230</v>
      </c>
      <c r="J165" t="str">
        <f>VLOOKUP(Table22[[#This Row],[ID Karyawan]],[2]Sheet1!$B$4:$AC$363,13,FALSE)</f>
        <v>Teknik</v>
      </c>
    </row>
    <row r="166" spans="1:10" hidden="1">
      <c r="A166" t="s">
        <v>655</v>
      </c>
      <c r="B166" s="5" t="s">
        <v>656</v>
      </c>
      <c r="C166" t="s">
        <v>540</v>
      </c>
      <c r="D166" t="s">
        <v>61</v>
      </c>
      <c r="E166" t="s">
        <v>552</v>
      </c>
      <c r="F166" t="s">
        <v>567</v>
      </c>
      <c r="H166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20-05-000-00</v>
      </c>
      <c r="I166" t="s">
        <v>1230</v>
      </c>
      <c r="J166" t="str">
        <f>VLOOKUP(Table22[[#This Row],[ID Karyawan]],[2]Sheet1!$B$4:$AC$363,13,FALSE)</f>
        <v>Teknik</v>
      </c>
    </row>
    <row r="167" spans="1:10" hidden="1">
      <c r="A167" t="s">
        <v>657</v>
      </c>
      <c r="B167" s="5" t="s">
        <v>411</v>
      </c>
      <c r="C167" t="s">
        <v>540</v>
      </c>
      <c r="D167" t="s">
        <v>61</v>
      </c>
      <c r="E167" t="s">
        <v>552</v>
      </c>
      <c r="F167" t="s">
        <v>567</v>
      </c>
      <c r="H167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20-05-000-00</v>
      </c>
      <c r="I167" t="s">
        <v>1230</v>
      </c>
      <c r="J167" t="str">
        <f>VLOOKUP(Table22[[#This Row],[ID Karyawan]],[2]Sheet1!$B$4:$AC$363,13,FALSE)</f>
        <v>Teknik</v>
      </c>
    </row>
    <row r="168" spans="1:10" hidden="1">
      <c r="A168" t="s">
        <v>661</v>
      </c>
      <c r="B168" s="5" t="s">
        <v>662</v>
      </c>
      <c r="C168" t="s">
        <v>540</v>
      </c>
      <c r="D168" t="s">
        <v>61</v>
      </c>
      <c r="E168" t="s">
        <v>552</v>
      </c>
      <c r="F168" t="s">
        <v>567</v>
      </c>
      <c r="H168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20-05-000-00</v>
      </c>
      <c r="I168" t="s">
        <v>1230</v>
      </c>
      <c r="J168" t="str">
        <f>VLOOKUP(Table22[[#This Row],[ID Karyawan]],[2]Sheet1!$B$4:$AC$363,13,FALSE)</f>
        <v>Teknik</v>
      </c>
    </row>
    <row r="169" spans="1:10" hidden="1">
      <c r="A169" t="s">
        <v>685</v>
      </c>
      <c r="B169" s="5" t="s">
        <v>686</v>
      </c>
      <c r="C169" t="s">
        <v>540</v>
      </c>
      <c r="D169" t="s">
        <v>61</v>
      </c>
      <c r="E169" t="s">
        <v>552</v>
      </c>
      <c r="F169" t="s">
        <v>567</v>
      </c>
      <c r="H169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20-05-000-00</v>
      </c>
      <c r="I169" t="s">
        <v>1230</v>
      </c>
      <c r="J169" t="str">
        <f>VLOOKUP(Table22[[#This Row],[ID Karyawan]],[2]Sheet1!$B$4:$AC$363,13,FALSE)</f>
        <v>Teknik</v>
      </c>
    </row>
    <row r="170" spans="1:10" hidden="1">
      <c r="A170" t="s">
        <v>675</v>
      </c>
      <c r="B170" s="5" t="s">
        <v>676</v>
      </c>
      <c r="C170" t="s">
        <v>540</v>
      </c>
      <c r="D170" t="s">
        <v>61</v>
      </c>
      <c r="E170" t="s">
        <v>552</v>
      </c>
      <c r="F170" t="s">
        <v>567</v>
      </c>
      <c r="H170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20-05-000-00</v>
      </c>
      <c r="I170" t="s">
        <v>1230</v>
      </c>
      <c r="J170" t="str">
        <f>VLOOKUP(Table22[[#This Row],[ID Karyawan]],[2]Sheet1!$B$4:$AC$363,13,FALSE)</f>
        <v>Teknik</v>
      </c>
    </row>
    <row r="171" spans="1:10" hidden="1">
      <c r="A171" t="s">
        <v>680</v>
      </c>
      <c r="B171" s="5" t="s">
        <v>1235</v>
      </c>
      <c r="C171" t="s">
        <v>540</v>
      </c>
      <c r="D171" t="s">
        <v>61</v>
      </c>
      <c r="E171" t="s">
        <v>552</v>
      </c>
      <c r="F171" t="s">
        <v>567</v>
      </c>
      <c r="H171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20-05-000-00</v>
      </c>
      <c r="I171" t="s">
        <v>1230</v>
      </c>
      <c r="J171" t="str">
        <f>VLOOKUP(Table22[[#This Row],[ID Karyawan]],[2]Sheet1!$B$4:$AC$363,13,FALSE)</f>
        <v>Teknik</v>
      </c>
    </row>
    <row r="172" spans="1:10" hidden="1">
      <c r="A172" t="s">
        <v>682</v>
      </c>
      <c r="B172" s="5" t="s">
        <v>683</v>
      </c>
      <c r="C172" t="s">
        <v>540</v>
      </c>
      <c r="D172" t="s">
        <v>61</v>
      </c>
      <c r="E172" t="s">
        <v>552</v>
      </c>
      <c r="F172" t="s">
        <v>567</v>
      </c>
      <c r="H172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20-05-000-00</v>
      </c>
      <c r="I172" t="s">
        <v>1230</v>
      </c>
      <c r="J172" t="str">
        <f>VLOOKUP(Table22[[#This Row],[ID Karyawan]],[2]Sheet1!$B$4:$AC$363,13,FALSE)</f>
        <v>Teknik</v>
      </c>
    </row>
    <row r="173" spans="1:10" hidden="1">
      <c r="A173" t="s">
        <v>678</v>
      </c>
      <c r="B173" s="5" t="s">
        <v>679</v>
      </c>
      <c r="C173" t="s">
        <v>540</v>
      </c>
      <c r="D173" t="s">
        <v>61</v>
      </c>
      <c r="E173" t="s">
        <v>552</v>
      </c>
      <c r="F173" t="s">
        <v>567</v>
      </c>
      <c r="H173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20-05-000-00</v>
      </c>
      <c r="I173" t="s">
        <v>1230</v>
      </c>
      <c r="J173" t="str">
        <f>VLOOKUP(Table22[[#This Row],[ID Karyawan]],[2]Sheet1!$B$4:$AC$363,13,FALSE)</f>
        <v>Teknik</v>
      </c>
    </row>
    <row r="174" spans="1:10" hidden="1">
      <c r="A174" t="s">
        <v>589</v>
      </c>
      <c r="B174" s="5" t="s">
        <v>590</v>
      </c>
      <c r="C174" t="s">
        <v>540</v>
      </c>
      <c r="D174" t="s">
        <v>61</v>
      </c>
      <c r="E174" t="s">
        <v>552</v>
      </c>
      <c r="F174" t="s">
        <v>638</v>
      </c>
      <c r="H174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20-05-006-00</v>
      </c>
      <c r="I174" t="s">
        <v>1230</v>
      </c>
      <c r="J174" t="str">
        <f>VLOOKUP(Table22[[#This Row],[ID Karyawan]],[2]Sheet1!$B$4:$AC$363,13,FALSE)</f>
        <v>Teknik</v>
      </c>
    </row>
    <row r="175" spans="1:10" hidden="1">
      <c r="A175" t="s">
        <v>634</v>
      </c>
      <c r="B175" s="5" t="s">
        <v>635</v>
      </c>
      <c r="C175" t="s">
        <v>540</v>
      </c>
      <c r="D175" t="s">
        <v>61</v>
      </c>
      <c r="E175" t="s">
        <v>552</v>
      </c>
      <c r="F175" t="s">
        <v>638</v>
      </c>
      <c r="H175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20-05-006-00</v>
      </c>
      <c r="I175" t="s">
        <v>1230</v>
      </c>
      <c r="J175" t="str">
        <f>VLOOKUP(Table22[[#This Row],[ID Karyawan]],[2]Sheet1!$B$4:$AC$363,13,FALSE)</f>
        <v>Teknik</v>
      </c>
    </row>
    <row r="176" spans="1:10" hidden="1">
      <c r="A176" t="s">
        <v>571</v>
      </c>
      <c r="B176" s="5" t="s">
        <v>572</v>
      </c>
      <c r="C176" t="s">
        <v>540</v>
      </c>
      <c r="D176" t="s">
        <v>61</v>
      </c>
      <c r="E176" t="s">
        <v>552</v>
      </c>
      <c r="F176" t="s">
        <v>638</v>
      </c>
      <c r="H176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20-05-006-00</v>
      </c>
      <c r="I176" t="s">
        <v>1230</v>
      </c>
      <c r="J176" t="str">
        <f>VLOOKUP(Table22[[#This Row],[ID Karyawan]],[2]Sheet1!$B$4:$AC$363,13,FALSE)</f>
        <v>Teknik</v>
      </c>
    </row>
    <row r="177" spans="1:10" hidden="1">
      <c r="A177" t="s">
        <v>641</v>
      </c>
      <c r="B177" s="5" t="s">
        <v>642</v>
      </c>
      <c r="C177" t="s">
        <v>540</v>
      </c>
      <c r="D177" t="s">
        <v>61</v>
      </c>
      <c r="E177" t="s">
        <v>552</v>
      </c>
      <c r="F177" t="s">
        <v>638</v>
      </c>
      <c r="H177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20-05-006-00</v>
      </c>
      <c r="I177" t="s">
        <v>1230</v>
      </c>
      <c r="J177" t="str">
        <f>VLOOKUP(Table22[[#This Row],[ID Karyawan]],[2]Sheet1!$B$4:$AC$363,13,FALSE)</f>
        <v>Teknik</v>
      </c>
    </row>
    <row r="178" spans="1:10" hidden="1">
      <c r="A178" t="s">
        <v>602</v>
      </c>
      <c r="B178" s="5" t="s">
        <v>603</v>
      </c>
      <c r="C178" t="s">
        <v>540</v>
      </c>
      <c r="D178" t="s">
        <v>61</v>
      </c>
      <c r="E178" t="s">
        <v>552</v>
      </c>
      <c r="F178" t="s">
        <v>638</v>
      </c>
      <c r="H178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20-05-006-00</v>
      </c>
      <c r="I178" t="s">
        <v>1230</v>
      </c>
      <c r="J178" t="str">
        <f>VLOOKUP(Table22[[#This Row],[ID Karyawan]],[2]Sheet1!$B$4:$AC$363,13,FALSE)</f>
        <v>Teknik</v>
      </c>
    </row>
    <row r="179" spans="1:10" hidden="1">
      <c r="A179" t="s">
        <v>639</v>
      </c>
      <c r="B179" s="5" t="s">
        <v>640</v>
      </c>
      <c r="C179" t="s">
        <v>540</v>
      </c>
      <c r="D179" t="s">
        <v>61</v>
      </c>
      <c r="E179" t="s">
        <v>552</v>
      </c>
      <c r="F179" t="s">
        <v>638</v>
      </c>
      <c r="H179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20-05-006-00</v>
      </c>
      <c r="I179" t="s">
        <v>1230</v>
      </c>
      <c r="J179" t="str">
        <f>VLOOKUP(Table22[[#This Row],[ID Karyawan]],[2]Sheet1!$B$4:$AC$363,13,FALSE)</f>
        <v>Teknik</v>
      </c>
    </row>
    <row r="180" spans="1:10" hidden="1">
      <c r="A180" t="s">
        <v>629</v>
      </c>
      <c r="B180" s="5" t="s">
        <v>630</v>
      </c>
      <c r="C180" t="s">
        <v>540</v>
      </c>
      <c r="D180" t="s">
        <v>61</v>
      </c>
      <c r="E180" t="s">
        <v>552</v>
      </c>
      <c r="F180" t="s">
        <v>638</v>
      </c>
      <c r="H180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20-05-006-00</v>
      </c>
      <c r="I180" t="s">
        <v>1230</v>
      </c>
      <c r="J180" t="str">
        <f>VLOOKUP(Table22[[#This Row],[ID Karyawan]],[2]Sheet1!$B$4:$AC$363,13,FALSE)</f>
        <v>Teknik</v>
      </c>
    </row>
    <row r="181" spans="1:10" hidden="1">
      <c r="A181" t="s">
        <v>593</v>
      </c>
      <c r="B181" s="5" t="s">
        <v>594</v>
      </c>
      <c r="C181" t="s">
        <v>540</v>
      </c>
      <c r="D181" t="s">
        <v>61</v>
      </c>
      <c r="E181" t="s">
        <v>552</v>
      </c>
      <c r="F181" t="s">
        <v>638</v>
      </c>
      <c r="H181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20-05-006-00</v>
      </c>
      <c r="I181" t="s">
        <v>1230</v>
      </c>
      <c r="J181" t="str">
        <f>VLOOKUP(Table22[[#This Row],[ID Karyawan]],[2]Sheet1!$B$4:$AC$363,13,FALSE)</f>
        <v>Teknik</v>
      </c>
    </row>
    <row r="182" spans="1:10" hidden="1">
      <c r="A182" t="s">
        <v>583</v>
      </c>
      <c r="B182" s="5" t="s">
        <v>584</v>
      </c>
      <c r="C182" t="s">
        <v>540</v>
      </c>
      <c r="D182" t="s">
        <v>61</v>
      </c>
      <c r="E182" t="s">
        <v>552</v>
      </c>
      <c r="F182" t="s">
        <v>638</v>
      </c>
      <c r="H182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20-05-006-00</v>
      </c>
      <c r="I182" t="s">
        <v>1230</v>
      </c>
      <c r="J182" t="str">
        <f>VLOOKUP(Table22[[#This Row],[ID Karyawan]],[2]Sheet1!$B$4:$AC$363,13,FALSE)</f>
        <v>Teknik</v>
      </c>
    </row>
    <row r="183" spans="1:10" hidden="1">
      <c r="A183" t="s">
        <v>631</v>
      </c>
      <c r="B183" s="5" t="s">
        <v>632</v>
      </c>
      <c r="C183" t="s">
        <v>540</v>
      </c>
      <c r="D183" t="s">
        <v>61</v>
      </c>
      <c r="E183" t="s">
        <v>552</v>
      </c>
      <c r="F183" t="s">
        <v>638</v>
      </c>
      <c r="H183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20-05-006-00</v>
      </c>
      <c r="I183" t="s">
        <v>1230</v>
      </c>
      <c r="J183" t="str">
        <f>VLOOKUP(Table22[[#This Row],[ID Karyawan]],[2]Sheet1!$B$4:$AC$363,13,FALSE)</f>
        <v>Teknik</v>
      </c>
    </row>
    <row r="184" spans="1:10" hidden="1">
      <c r="A184" t="s">
        <v>580</v>
      </c>
      <c r="B184" s="5" t="s">
        <v>581</v>
      </c>
      <c r="C184" t="s">
        <v>540</v>
      </c>
      <c r="D184" t="s">
        <v>61</v>
      </c>
      <c r="E184" t="s">
        <v>552</v>
      </c>
      <c r="F184" t="s">
        <v>638</v>
      </c>
      <c r="H184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20-05-006-00</v>
      </c>
      <c r="I184" t="s">
        <v>1230</v>
      </c>
      <c r="J184" t="str">
        <f>VLOOKUP(Table22[[#This Row],[ID Karyawan]],[2]Sheet1!$B$4:$AC$363,13,FALSE)</f>
        <v>Teknik</v>
      </c>
    </row>
    <row r="185" spans="1:10" hidden="1">
      <c r="A185" t="s">
        <v>605</v>
      </c>
      <c r="B185" s="5" t="s">
        <v>606</v>
      </c>
      <c r="C185" t="s">
        <v>540</v>
      </c>
      <c r="D185" t="s">
        <v>61</v>
      </c>
      <c r="E185" t="s">
        <v>552</v>
      </c>
      <c r="F185" t="s">
        <v>638</v>
      </c>
      <c r="H185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20-05-006-00</v>
      </c>
      <c r="I185" t="s">
        <v>1230</v>
      </c>
      <c r="J185" t="str">
        <f>VLOOKUP(Table22[[#This Row],[ID Karyawan]],[2]Sheet1!$B$4:$AC$363,13,FALSE)</f>
        <v>Teknik</v>
      </c>
    </row>
    <row r="186" spans="1:10" hidden="1">
      <c r="A186" t="s">
        <v>636</v>
      </c>
      <c r="B186" s="5" t="s">
        <v>637</v>
      </c>
      <c r="C186" t="s">
        <v>540</v>
      </c>
      <c r="D186" t="s">
        <v>61</v>
      </c>
      <c r="E186" t="s">
        <v>552</v>
      </c>
      <c r="F186" t="s">
        <v>638</v>
      </c>
      <c r="H186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20-05-006-00</v>
      </c>
      <c r="I186" t="s">
        <v>1230</v>
      </c>
      <c r="J186" t="str">
        <f>VLOOKUP(Table22[[#This Row],[ID Karyawan]],[2]Sheet1!$B$4:$AC$363,13,FALSE)</f>
        <v>Teknik</v>
      </c>
    </row>
    <row r="187" spans="1:10" hidden="1">
      <c r="A187" t="s">
        <v>599</v>
      </c>
      <c r="B187" s="5" t="s">
        <v>600</v>
      </c>
      <c r="C187" t="s">
        <v>540</v>
      </c>
      <c r="D187" t="s">
        <v>61</v>
      </c>
      <c r="E187" t="s">
        <v>552</v>
      </c>
      <c r="F187" t="s">
        <v>638</v>
      </c>
      <c r="H187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20-05-006-00</v>
      </c>
      <c r="I187" t="s">
        <v>1230</v>
      </c>
      <c r="J187" t="str">
        <f>VLOOKUP(Table22[[#This Row],[ID Karyawan]],[2]Sheet1!$B$4:$AC$363,13,FALSE)</f>
        <v>Teknik</v>
      </c>
    </row>
    <row r="188" spans="1:10" hidden="1">
      <c r="A188" t="s">
        <v>577</v>
      </c>
      <c r="B188" s="5" t="s">
        <v>578</v>
      </c>
      <c r="C188" t="s">
        <v>540</v>
      </c>
      <c r="D188" t="s">
        <v>61</v>
      </c>
      <c r="E188" t="s">
        <v>552</v>
      </c>
      <c r="F188" t="s">
        <v>638</v>
      </c>
      <c r="H188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20-05-006-00</v>
      </c>
      <c r="I188" t="s">
        <v>1230</v>
      </c>
      <c r="J188" t="str">
        <f>VLOOKUP(Table22[[#This Row],[ID Karyawan]],[2]Sheet1!$B$4:$AC$363,13,FALSE)</f>
        <v>Teknik</v>
      </c>
    </row>
    <row r="189" spans="1:10" hidden="1">
      <c r="A189" t="s">
        <v>608</v>
      </c>
      <c r="B189" s="5" t="s">
        <v>609</v>
      </c>
      <c r="C189" t="s">
        <v>540</v>
      </c>
      <c r="D189" t="s">
        <v>61</v>
      </c>
      <c r="E189" t="s">
        <v>552</v>
      </c>
      <c r="F189" t="s">
        <v>638</v>
      </c>
      <c r="H189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20-05-006-00</v>
      </c>
      <c r="I189" t="s">
        <v>1230</v>
      </c>
      <c r="J189" t="str">
        <f>VLOOKUP(Table22[[#This Row],[ID Karyawan]],[2]Sheet1!$B$4:$AC$363,13,FALSE)</f>
        <v>Teknik</v>
      </c>
    </row>
    <row r="190" spans="1:10" hidden="1">
      <c r="A190" t="s">
        <v>612</v>
      </c>
      <c r="B190" s="5" t="s">
        <v>613</v>
      </c>
      <c r="C190" t="s">
        <v>540</v>
      </c>
      <c r="D190" t="s">
        <v>61</v>
      </c>
      <c r="E190" t="s">
        <v>552</v>
      </c>
      <c r="F190" t="s">
        <v>638</v>
      </c>
      <c r="H190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20-05-006-00</v>
      </c>
      <c r="I190" t="s">
        <v>1230</v>
      </c>
      <c r="J190" t="str">
        <f>VLOOKUP(Table22[[#This Row],[ID Karyawan]],[2]Sheet1!$B$4:$AC$363,13,FALSE)</f>
        <v>Teknik</v>
      </c>
    </row>
    <row r="191" spans="1:10" hidden="1">
      <c r="A191" t="s">
        <v>586</v>
      </c>
      <c r="B191" s="5" t="s">
        <v>587</v>
      </c>
      <c r="C191" t="s">
        <v>540</v>
      </c>
      <c r="D191" t="s">
        <v>61</v>
      </c>
      <c r="E191" t="s">
        <v>552</v>
      </c>
      <c r="F191" t="s">
        <v>638</v>
      </c>
      <c r="H191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20-05-006-00</v>
      </c>
      <c r="I191" t="s">
        <v>1230</v>
      </c>
      <c r="J191" t="str">
        <f>VLOOKUP(Table22[[#This Row],[ID Karyawan]],[2]Sheet1!$B$4:$AC$363,13,FALSE)</f>
        <v>Teknik</v>
      </c>
    </row>
    <row r="192" spans="1:10" hidden="1">
      <c r="A192" t="s">
        <v>615</v>
      </c>
      <c r="B192" s="5" t="s">
        <v>616</v>
      </c>
      <c r="C192" t="s">
        <v>540</v>
      </c>
      <c r="D192" t="s">
        <v>61</v>
      </c>
      <c r="E192" t="s">
        <v>552</v>
      </c>
      <c r="F192" t="s">
        <v>638</v>
      </c>
      <c r="H192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20-05-006-00</v>
      </c>
      <c r="I192" t="s">
        <v>1230</v>
      </c>
      <c r="J192" t="str">
        <f>VLOOKUP(Table22[[#This Row],[ID Karyawan]],[2]Sheet1!$B$4:$AC$363,13,FALSE)</f>
        <v>Teknik</v>
      </c>
    </row>
    <row r="193" spans="1:10" hidden="1">
      <c r="A193" t="s">
        <v>618</v>
      </c>
      <c r="B193" s="5" t="s">
        <v>619</v>
      </c>
      <c r="C193" t="s">
        <v>540</v>
      </c>
      <c r="D193" t="s">
        <v>61</v>
      </c>
      <c r="E193" t="s">
        <v>552</v>
      </c>
      <c r="F193" t="s">
        <v>638</v>
      </c>
      <c r="H193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20-05-006-00</v>
      </c>
      <c r="I193" t="s">
        <v>1230</v>
      </c>
      <c r="J193" t="str">
        <f>VLOOKUP(Table22[[#This Row],[ID Karyawan]],[2]Sheet1!$B$4:$AC$363,13,FALSE)</f>
        <v>Teknik</v>
      </c>
    </row>
    <row r="194" spans="1:10" hidden="1">
      <c r="A194" t="s">
        <v>621</v>
      </c>
      <c r="B194" s="5" t="s">
        <v>622</v>
      </c>
      <c r="C194" t="s">
        <v>540</v>
      </c>
      <c r="D194" t="s">
        <v>61</v>
      </c>
      <c r="E194" t="s">
        <v>552</v>
      </c>
      <c r="F194" t="s">
        <v>638</v>
      </c>
      <c r="H194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20-05-006-00</v>
      </c>
      <c r="I194" t="s">
        <v>1230</v>
      </c>
      <c r="J194" t="str">
        <f>VLOOKUP(Table22[[#This Row],[ID Karyawan]],[2]Sheet1!$B$4:$AC$363,13,FALSE)</f>
        <v>Teknik</v>
      </c>
    </row>
    <row r="195" spans="1:10" hidden="1">
      <c r="A195" t="s">
        <v>597</v>
      </c>
      <c r="B195" s="5" t="s">
        <v>598</v>
      </c>
      <c r="C195" t="s">
        <v>540</v>
      </c>
      <c r="D195" t="s">
        <v>61</v>
      </c>
      <c r="E195" t="s">
        <v>552</v>
      </c>
      <c r="F195" t="s">
        <v>638</v>
      </c>
      <c r="H195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20-05-006-00</v>
      </c>
      <c r="I195" t="s">
        <v>1230</v>
      </c>
      <c r="J195" t="str">
        <f>VLOOKUP(Table22[[#This Row],[ID Karyawan]],[2]Sheet1!$B$4:$AC$363,13,FALSE)</f>
        <v>Teknik</v>
      </c>
    </row>
    <row r="196" spans="1:10" hidden="1">
      <c r="A196" t="s">
        <v>47</v>
      </c>
      <c r="B196" t="s">
        <v>48</v>
      </c>
      <c r="C196" t="s">
        <v>60</v>
      </c>
      <c r="D196" t="s">
        <v>705</v>
      </c>
      <c r="H196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30-00-000-00</v>
      </c>
      <c r="I196" t="s">
        <v>1217</v>
      </c>
      <c r="J196" t="str">
        <f>VLOOKUP(Table22[[#This Row],[ID Karyawan]],[2]Sheet1!$B$4:$AC$363,13,FALSE)</f>
        <v>Manajemen</v>
      </c>
    </row>
    <row r="197" spans="1:10" hidden="1">
      <c r="A197" t="s">
        <v>1236</v>
      </c>
      <c r="B197" t="s">
        <v>1237</v>
      </c>
      <c r="C197" t="s">
        <v>67</v>
      </c>
      <c r="D197" t="s">
        <v>705</v>
      </c>
      <c r="E197" t="s">
        <v>1238</v>
      </c>
      <c r="H197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30-07-000-00</v>
      </c>
      <c r="I197" t="s">
        <v>1239</v>
      </c>
      <c r="J197" t="str">
        <f>VLOOKUP(Table22[[#This Row],[ID Karyawan]],[2]Sheet1!$B$4:$AC$363,13,FALSE)</f>
        <v>Lab., QC., &amp; QA</v>
      </c>
    </row>
    <row r="198" spans="1:10" hidden="1">
      <c r="A198" s="2" t="s">
        <v>837</v>
      </c>
      <c r="B198" s="5" t="s">
        <v>1240</v>
      </c>
      <c r="C198" t="s">
        <v>702</v>
      </c>
      <c r="D198" t="s">
        <v>705</v>
      </c>
      <c r="E198" t="s">
        <v>1238</v>
      </c>
      <c r="H198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30-07-000-00</v>
      </c>
      <c r="I198" t="s">
        <v>1241</v>
      </c>
      <c r="J198" t="str">
        <f>VLOOKUP(Table22[[#This Row],[ID Karyawan]],[2]Sheet1!$B$4:$AC$363,13,FALSE)</f>
        <v>Lab., QC., &amp; QA</v>
      </c>
    </row>
    <row r="199" spans="1:10" hidden="1">
      <c r="A199" s="2" t="s">
        <v>842</v>
      </c>
      <c r="B199" s="5" t="s">
        <v>843</v>
      </c>
      <c r="C199" t="s">
        <v>702</v>
      </c>
      <c r="D199" t="s">
        <v>705</v>
      </c>
      <c r="E199" t="s">
        <v>1238</v>
      </c>
      <c r="H199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30-07-000-00</v>
      </c>
      <c r="I199" t="s">
        <v>1241</v>
      </c>
      <c r="J199" t="str">
        <f>VLOOKUP(Table22[[#This Row],[ID Karyawan]],[2]Sheet1!$B$4:$AC$363,13,FALSE)</f>
        <v>Lab., QC., &amp; QA</v>
      </c>
    </row>
    <row r="200" spans="1:10" hidden="1">
      <c r="A200" s="2" t="s">
        <v>840</v>
      </c>
      <c r="B200" s="5" t="s">
        <v>841</v>
      </c>
      <c r="C200" t="s">
        <v>702</v>
      </c>
      <c r="D200" t="s">
        <v>705</v>
      </c>
      <c r="E200" t="s">
        <v>1238</v>
      </c>
      <c r="H200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30-07-000-00</v>
      </c>
      <c r="I200" t="s">
        <v>1241</v>
      </c>
      <c r="J200" t="str">
        <f>VLOOKUP(Table22[[#This Row],[ID Karyawan]],[2]Sheet1!$B$4:$AC$363,13,FALSE)</f>
        <v>Lab., QC., &amp; QA</v>
      </c>
    </row>
    <row r="201" spans="1:10" hidden="1">
      <c r="A201" s="2" t="s">
        <v>844</v>
      </c>
      <c r="B201" s="5" t="s">
        <v>845</v>
      </c>
      <c r="C201" t="s">
        <v>702</v>
      </c>
      <c r="D201" t="s">
        <v>705</v>
      </c>
      <c r="E201" t="s">
        <v>1238</v>
      </c>
      <c r="H201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30-07-000-00</v>
      </c>
      <c r="I201" t="s">
        <v>1241</v>
      </c>
      <c r="J201" t="str">
        <f>VLOOKUP(Table22[[#This Row],[ID Karyawan]],[2]Sheet1!$B$4:$AC$363,13,FALSE)</f>
        <v>Lab., QC., &amp; QA</v>
      </c>
    </row>
    <row r="202" spans="1:10" hidden="1">
      <c r="A202" s="2" t="s">
        <v>738</v>
      </c>
      <c r="B202" s="5" t="s">
        <v>739</v>
      </c>
      <c r="C202" t="s">
        <v>540</v>
      </c>
      <c r="D202" t="s">
        <v>705</v>
      </c>
      <c r="E202" t="s">
        <v>1238</v>
      </c>
      <c r="H202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30-07-000-00</v>
      </c>
      <c r="I202" t="s">
        <v>1242</v>
      </c>
      <c r="J202" t="str">
        <f>VLOOKUP(Table22[[#This Row],[ID Karyawan]],[2]Sheet1!$B$4:$AC$363,13,FALSE)</f>
        <v>Lab., QC., &amp; QA</v>
      </c>
    </row>
    <row r="203" spans="1:10" hidden="1">
      <c r="A203" s="3" t="s">
        <v>771</v>
      </c>
      <c r="B203" s="6" t="s">
        <v>772</v>
      </c>
      <c r="C203" t="s">
        <v>540</v>
      </c>
      <c r="D203" t="s">
        <v>705</v>
      </c>
      <c r="E203" t="s">
        <v>1238</v>
      </c>
      <c r="H203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30-07-000-00</v>
      </c>
      <c r="I203" t="s">
        <v>1242</v>
      </c>
      <c r="J203" t="str">
        <f>VLOOKUP(Table22[[#This Row],[ID Karyawan]],[2]Sheet1!$B$4:$AC$363,13,FALSE)</f>
        <v>Lab., QC., &amp; QA</v>
      </c>
    </row>
    <row r="204" spans="1:10" hidden="1">
      <c r="A204" s="2" t="s">
        <v>741</v>
      </c>
      <c r="B204" s="5" t="s">
        <v>742</v>
      </c>
      <c r="C204" t="s">
        <v>540</v>
      </c>
      <c r="D204" t="s">
        <v>705</v>
      </c>
      <c r="E204" t="s">
        <v>1238</v>
      </c>
      <c r="H204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30-07-000-00</v>
      </c>
      <c r="I204" t="s">
        <v>1242</v>
      </c>
      <c r="J204" t="str">
        <f>VLOOKUP(Table22[[#This Row],[ID Karyawan]],[2]Sheet1!$B$4:$AC$363,13,FALSE)</f>
        <v>Lab., QC., &amp; QA</v>
      </c>
    </row>
    <row r="205" spans="1:10" hidden="1">
      <c r="A205" s="2" t="s">
        <v>721</v>
      </c>
      <c r="B205" s="5" t="s">
        <v>722</v>
      </c>
      <c r="C205" t="s">
        <v>540</v>
      </c>
      <c r="D205" t="s">
        <v>705</v>
      </c>
      <c r="E205" t="s">
        <v>1238</v>
      </c>
      <c r="F205" t="s">
        <v>711</v>
      </c>
      <c r="H205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30-07-012-00</v>
      </c>
      <c r="I205" t="s">
        <v>1242</v>
      </c>
      <c r="J205" t="str">
        <f>VLOOKUP(Table22[[#This Row],[ID Karyawan]],[2]Sheet1!$B$4:$AC$363,13,FALSE)</f>
        <v>Lab., QC., &amp; QA</v>
      </c>
    </row>
    <row r="206" spans="1:10" hidden="1">
      <c r="A206" s="2" t="s">
        <v>715</v>
      </c>
      <c r="B206" s="5" t="s">
        <v>1243</v>
      </c>
      <c r="C206" t="s">
        <v>540</v>
      </c>
      <c r="D206" t="s">
        <v>705</v>
      </c>
      <c r="E206" t="s">
        <v>1238</v>
      </c>
      <c r="F206" t="s">
        <v>711</v>
      </c>
      <c r="H206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30-07-012-00</v>
      </c>
      <c r="I206" t="s">
        <v>1242</v>
      </c>
      <c r="J206" t="str">
        <f>VLOOKUP(Table22[[#This Row],[ID Karyawan]],[2]Sheet1!$B$4:$AC$363,13,FALSE)</f>
        <v>Lab., QC., &amp; QA</v>
      </c>
    </row>
    <row r="207" spans="1:10" hidden="1">
      <c r="A207" s="2" t="s">
        <v>724</v>
      </c>
      <c r="B207" s="5" t="s">
        <v>725</v>
      </c>
      <c r="C207" t="s">
        <v>540</v>
      </c>
      <c r="D207" t="s">
        <v>705</v>
      </c>
      <c r="E207" t="s">
        <v>1238</v>
      </c>
      <c r="F207" t="s">
        <v>711</v>
      </c>
      <c r="H207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30-07-012-00</v>
      </c>
      <c r="I207" t="s">
        <v>1242</v>
      </c>
      <c r="J207" t="str">
        <f>VLOOKUP(Table22[[#This Row],[ID Karyawan]],[2]Sheet1!$B$4:$AC$363,13,FALSE)</f>
        <v>Lab., QC., &amp; QA</v>
      </c>
    </row>
    <row r="208" spans="1:10" hidden="1">
      <c r="A208" s="2" t="s">
        <v>728</v>
      </c>
      <c r="B208" s="5" t="s">
        <v>729</v>
      </c>
      <c r="C208" t="s">
        <v>540</v>
      </c>
      <c r="D208" t="s">
        <v>705</v>
      </c>
      <c r="E208" t="s">
        <v>1238</v>
      </c>
      <c r="F208" t="s">
        <v>711</v>
      </c>
      <c r="H208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30-07-012-00</v>
      </c>
      <c r="I208" t="s">
        <v>1242</v>
      </c>
      <c r="J208" t="str">
        <f>VLOOKUP(Table22[[#This Row],[ID Karyawan]],[2]Sheet1!$B$4:$AC$363,13,FALSE)</f>
        <v>Lab., QC., &amp; QA</v>
      </c>
    </row>
    <row r="209" spans="1:10" hidden="1">
      <c r="A209" s="2" t="s">
        <v>732</v>
      </c>
      <c r="B209" s="5" t="s">
        <v>733</v>
      </c>
      <c r="C209" t="s">
        <v>540</v>
      </c>
      <c r="D209" t="s">
        <v>705</v>
      </c>
      <c r="E209" t="s">
        <v>1238</v>
      </c>
      <c r="F209" t="s">
        <v>711</v>
      </c>
      <c r="H209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30-07-012-00</v>
      </c>
      <c r="I209" t="s">
        <v>1242</v>
      </c>
      <c r="J209" t="str">
        <f>VLOOKUP(Table22[[#This Row],[ID Karyawan]],[2]Sheet1!$B$4:$AC$363,13,FALSE)</f>
        <v>Lab., QC., &amp; QA</v>
      </c>
    </row>
    <row r="210" spans="1:10" hidden="1">
      <c r="A210" s="2" t="s">
        <v>767</v>
      </c>
      <c r="B210" s="5" t="s">
        <v>768</v>
      </c>
      <c r="C210" t="s">
        <v>540</v>
      </c>
      <c r="D210" t="s">
        <v>705</v>
      </c>
      <c r="E210" t="s">
        <v>1238</v>
      </c>
      <c r="F210" t="s">
        <v>711</v>
      </c>
      <c r="H210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30-07-012-00</v>
      </c>
      <c r="I210" t="s">
        <v>1242</v>
      </c>
      <c r="J210" t="str">
        <f>VLOOKUP(Table22[[#This Row],[ID Karyawan]],[2]Sheet1!$B$4:$AC$363,13,FALSE)</f>
        <v>Lab., QC., &amp; QA</v>
      </c>
    </row>
    <row r="211" spans="1:10" hidden="1">
      <c r="A211" s="2" t="s">
        <v>753</v>
      </c>
      <c r="B211" s="5" t="s">
        <v>754</v>
      </c>
      <c r="C211" t="s">
        <v>540</v>
      </c>
      <c r="D211" t="s">
        <v>705</v>
      </c>
      <c r="E211" t="s">
        <v>1238</v>
      </c>
      <c r="F211" t="s">
        <v>711</v>
      </c>
      <c r="H211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30-07-012-00</v>
      </c>
      <c r="I211" t="s">
        <v>1242</v>
      </c>
      <c r="J211" t="str">
        <f>VLOOKUP(Table22[[#This Row],[ID Karyawan]],[2]Sheet1!$B$4:$AC$363,13,FALSE)</f>
        <v>Lab., QC., &amp; QA</v>
      </c>
    </row>
    <row r="212" spans="1:10" hidden="1">
      <c r="A212" s="2" t="s">
        <v>748</v>
      </c>
      <c r="B212" s="5" t="s">
        <v>749</v>
      </c>
      <c r="C212" t="s">
        <v>540</v>
      </c>
      <c r="D212" t="s">
        <v>705</v>
      </c>
      <c r="E212" t="s">
        <v>1238</v>
      </c>
      <c r="F212" t="s">
        <v>711</v>
      </c>
      <c r="H212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30-07-012-00</v>
      </c>
      <c r="I212" t="s">
        <v>1242</v>
      </c>
      <c r="J212" t="str">
        <f>VLOOKUP(Table22[[#This Row],[ID Karyawan]],[2]Sheet1!$B$4:$AC$363,13,FALSE)</f>
        <v>Lab., QC., &amp; QA</v>
      </c>
    </row>
    <row r="213" spans="1:10" hidden="1">
      <c r="A213" s="2" t="s">
        <v>755</v>
      </c>
      <c r="B213" s="5" t="s">
        <v>756</v>
      </c>
      <c r="C213" t="s">
        <v>540</v>
      </c>
      <c r="D213" t="s">
        <v>705</v>
      </c>
      <c r="E213" t="s">
        <v>1238</v>
      </c>
      <c r="F213" t="s">
        <v>711</v>
      </c>
      <c r="H213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30-07-012-00</v>
      </c>
      <c r="I213" t="s">
        <v>1242</v>
      </c>
      <c r="J213" t="str">
        <f>VLOOKUP(Table22[[#This Row],[ID Karyawan]],[2]Sheet1!$B$4:$AC$363,13,FALSE)</f>
        <v>Lab., QC., &amp; QA</v>
      </c>
    </row>
    <row r="214" spans="1:10" hidden="1">
      <c r="A214" s="2" t="s">
        <v>757</v>
      </c>
      <c r="B214" s="5" t="s">
        <v>758</v>
      </c>
      <c r="C214" t="s">
        <v>540</v>
      </c>
      <c r="D214" t="s">
        <v>705</v>
      </c>
      <c r="E214" t="s">
        <v>1238</v>
      </c>
      <c r="F214" t="s">
        <v>711</v>
      </c>
      <c r="H214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30-07-012-00</v>
      </c>
      <c r="I214" t="s">
        <v>1242</v>
      </c>
      <c r="J214" t="str">
        <f>VLOOKUP(Table22[[#This Row],[ID Karyawan]],[2]Sheet1!$B$4:$AC$363,13,FALSE)</f>
        <v>Lab., QC., &amp; QA</v>
      </c>
    </row>
    <row r="215" spans="1:10" hidden="1">
      <c r="A215" s="2" t="s">
        <v>760</v>
      </c>
      <c r="B215" s="5" t="s">
        <v>761</v>
      </c>
      <c r="C215" t="s">
        <v>540</v>
      </c>
      <c r="D215" t="s">
        <v>705</v>
      </c>
      <c r="E215" t="s">
        <v>1238</v>
      </c>
      <c r="F215" t="s">
        <v>711</v>
      </c>
      <c r="H215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30-07-012-00</v>
      </c>
      <c r="I215" t="s">
        <v>1242</v>
      </c>
      <c r="J215" t="str">
        <f>VLOOKUP(Table22[[#This Row],[ID Karyawan]],[2]Sheet1!$B$4:$AC$363,13,FALSE)</f>
        <v>Lab., QC., &amp; QA</v>
      </c>
    </row>
    <row r="216" spans="1:10" hidden="1">
      <c r="A216" s="2" t="s">
        <v>762</v>
      </c>
      <c r="B216" s="5" t="s">
        <v>763</v>
      </c>
      <c r="C216" t="s">
        <v>540</v>
      </c>
      <c r="D216" t="s">
        <v>705</v>
      </c>
      <c r="E216" t="s">
        <v>1238</v>
      </c>
      <c r="F216" t="s">
        <v>711</v>
      </c>
      <c r="H216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30-07-012-00</v>
      </c>
      <c r="I216" t="s">
        <v>1242</v>
      </c>
      <c r="J216" t="str">
        <f>VLOOKUP(Table22[[#This Row],[ID Karyawan]],[2]Sheet1!$B$4:$AC$363,13,FALSE)</f>
        <v>Lab., QC., &amp; QA</v>
      </c>
    </row>
    <row r="217" spans="1:10" hidden="1">
      <c r="A217" s="2" t="s">
        <v>765</v>
      </c>
      <c r="B217" s="5" t="s">
        <v>766</v>
      </c>
      <c r="C217" t="s">
        <v>540</v>
      </c>
      <c r="D217" t="s">
        <v>705</v>
      </c>
      <c r="E217" t="s">
        <v>1238</v>
      </c>
      <c r="F217" t="s">
        <v>711</v>
      </c>
      <c r="H217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30-07-012-00</v>
      </c>
      <c r="I217" t="s">
        <v>1242</v>
      </c>
      <c r="J217" t="str">
        <f>VLOOKUP(Table22[[#This Row],[ID Karyawan]],[2]Sheet1!$B$4:$AC$363,13,FALSE)</f>
        <v>Lab., QC., &amp; QA</v>
      </c>
    </row>
    <row r="218" spans="1:10" hidden="1">
      <c r="A218" s="2" t="s">
        <v>776</v>
      </c>
      <c r="B218" s="5" t="s">
        <v>777</v>
      </c>
      <c r="C218" t="s">
        <v>540</v>
      </c>
      <c r="D218" t="s">
        <v>705</v>
      </c>
      <c r="E218" t="s">
        <v>1238</v>
      </c>
      <c r="F218" t="s">
        <v>711</v>
      </c>
      <c r="H218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30-07-012-00</v>
      </c>
      <c r="I218" t="s">
        <v>1242</v>
      </c>
      <c r="J218" t="str">
        <f>VLOOKUP(Table22[[#This Row],[ID Karyawan]],[2]Sheet1!$B$4:$AC$363,13,FALSE)</f>
        <v>Lab., QC., &amp; QA</v>
      </c>
    </row>
    <row r="219" spans="1:10" hidden="1">
      <c r="A219" s="2" t="s">
        <v>780</v>
      </c>
      <c r="B219" s="5" t="s">
        <v>781</v>
      </c>
      <c r="C219" t="s">
        <v>540</v>
      </c>
      <c r="D219" t="s">
        <v>705</v>
      </c>
      <c r="E219" t="s">
        <v>1238</v>
      </c>
      <c r="F219" t="s">
        <v>711</v>
      </c>
      <c r="H219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30-07-012-00</v>
      </c>
      <c r="I219" t="s">
        <v>1242</v>
      </c>
      <c r="J219" t="str">
        <f>VLOOKUP(Table22[[#This Row],[ID Karyawan]],[2]Sheet1!$B$4:$AC$363,13,FALSE)</f>
        <v>Lab., QC., &amp; QA</v>
      </c>
    </row>
    <row r="220" spans="1:10" hidden="1">
      <c r="A220" s="2" t="s">
        <v>783</v>
      </c>
      <c r="B220" s="5" t="s">
        <v>1244</v>
      </c>
      <c r="C220" t="s">
        <v>540</v>
      </c>
      <c r="D220" t="s">
        <v>705</v>
      </c>
      <c r="E220" t="s">
        <v>1238</v>
      </c>
      <c r="F220" t="s">
        <v>711</v>
      </c>
      <c r="H220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30-07-012-00</v>
      </c>
      <c r="I220" t="s">
        <v>1242</v>
      </c>
      <c r="J220" t="str">
        <f>VLOOKUP(Table22[[#This Row],[ID Karyawan]],[2]Sheet1!$B$4:$AC$363,13,FALSE)</f>
        <v>Lab., QC., &amp; QA</v>
      </c>
    </row>
    <row r="221" spans="1:10" hidden="1">
      <c r="A221" s="2" t="s">
        <v>787</v>
      </c>
      <c r="B221" s="5" t="s">
        <v>788</v>
      </c>
      <c r="C221" t="s">
        <v>540</v>
      </c>
      <c r="D221" t="s">
        <v>705</v>
      </c>
      <c r="E221" t="s">
        <v>1238</v>
      </c>
      <c r="F221" t="s">
        <v>711</v>
      </c>
      <c r="H221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30-07-012-00</v>
      </c>
      <c r="I221" t="s">
        <v>1242</v>
      </c>
      <c r="J221" t="str">
        <f>VLOOKUP(Table22[[#This Row],[ID Karyawan]],[2]Sheet1!$B$4:$AC$363,13,FALSE)</f>
        <v>Lab., QC., &amp; QA</v>
      </c>
    </row>
    <row r="222" spans="1:10" hidden="1">
      <c r="A222" s="2" t="s">
        <v>785</v>
      </c>
      <c r="B222" s="5" t="s">
        <v>786</v>
      </c>
      <c r="C222" t="s">
        <v>540</v>
      </c>
      <c r="D222" t="s">
        <v>705</v>
      </c>
      <c r="E222" t="s">
        <v>1238</v>
      </c>
      <c r="F222" t="s">
        <v>711</v>
      </c>
      <c r="H222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30-07-012-00</v>
      </c>
      <c r="I222" t="s">
        <v>1242</v>
      </c>
      <c r="J222" t="str">
        <f>VLOOKUP(Table22[[#This Row],[ID Karyawan]],[2]Sheet1!$B$4:$AC$363,13,FALSE)</f>
        <v>Lab., QC., &amp; QA</v>
      </c>
    </row>
    <row r="223" spans="1:10" hidden="1">
      <c r="A223" s="2" t="s">
        <v>793</v>
      </c>
      <c r="B223" s="5" t="s">
        <v>794</v>
      </c>
      <c r="C223" t="s">
        <v>540</v>
      </c>
      <c r="D223" t="s">
        <v>705</v>
      </c>
      <c r="E223" t="s">
        <v>1238</v>
      </c>
      <c r="F223" t="s">
        <v>711</v>
      </c>
      <c r="H223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30-07-012-00</v>
      </c>
      <c r="I223" t="s">
        <v>1242</v>
      </c>
      <c r="J223" t="str">
        <f>VLOOKUP(Table22[[#This Row],[ID Karyawan]],[2]Sheet1!$B$4:$AC$363,13,FALSE)</f>
        <v>Lab., QC., &amp; QA</v>
      </c>
    </row>
    <row r="224" spans="1:10" hidden="1">
      <c r="A224" s="2" t="s">
        <v>790</v>
      </c>
      <c r="B224" s="5" t="s">
        <v>791</v>
      </c>
      <c r="C224" t="s">
        <v>540</v>
      </c>
      <c r="D224" t="s">
        <v>705</v>
      </c>
      <c r="E224" t="s">
        <v>1238</v>
      </c>
      <c r="F224" t="s">
        <v>711</v>
      </c>
      <c r="H224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30-07-012-00</v>
      </c>
      <c r="I224" t="s">
        <v>1242</v>
      </c>
      <c r="J224" t="str">
        <f>VLOOKUP(Table22[[#This Row],[ID Karyawan]],[2]Sheet1!$B$4:$AC$363,13,FALSE)</f>
        <v>Lab., QC., &amp; QA</v>
      </c>
    </row>
    <row r="225" spans="1:10" hidden="1">
      <c r="A225" s="2" t="s">
        <v>796</v>
      </c>
      <c r="B225" s="5" t="s">
        <v>797</v>
      </c>
      <c r="C225" t="s">
        <v>540</v>
      </c>
      <c r="D225" t="s">
        <v>705</v>
      </c>
      <c r="E225" t="s">
        <v>1238</v>
      </c>
      <c r="F225" t="s">
        <v>711</v>
      </c>
      <c r="H225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30-07-012-00</v>
      </c>
      <c r="I225" t="s">
        <v>1242</v>
      </c>
      <c r="J225" t="str">
        <f>VLOOKUP(Table22[[#This Row],[ID Karyawan]],[2]Sheet1!$B$4:$AC$363,13,FALSE)</f>
        <v>Lab., QC., &amp; QA</v>
      </c>
    </row>
    <row r="226" spans="1:10" hidden="1">
      <c r="A226" s="2" t="s">
        <v>736</v>
      </c>
      <c r="B226" s="5" t="s">
        <v>737</v>
      </c>
      <c r="C226" t="s">
        <v>540</v>
      </c>
      <c r="D226" t="s">
        <v>705</v>
      </c>
      <c r="E226" t="s">
        <v>1238</v>
      </c>
      <c r="F226" t="s">
        <v>711</v>
      </c>
      <c r="H226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30-07-012-00</v>
      </c>
      <c r="I226" t="s">
        <v>1242</v>
      </c>
      <c r="J226" t="str">
        <f>VLOOKUP(Table22[[#This Row],[ID Karyawan]],[2]Sheet1!$B$4:$AC$363,13,FALSE)</f>
        <v>Lab., QC., &amp; QA</v>
      </c>
    </row>
    <row r="227" spans="1:10" hidden="1">
      <c r="A227" s="2" t="s">
        <v>709</v>
      </c>
      <c r="B227" s="5" t="s">
        <v>710</v>
      </c>
      <c r="C227" t="s">
        <v>71</v>
      </c>
      <c r="D227" t="s">
        <v>705</v>
      </c>
      <c r="E227" t="s">
        <v>1238</v>
      </c>
      <c r="F227" t="s">
        <v>1245</v>
      </c>
      <c r="H227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30-07-000-00</v>
      </c>
      <c r="I227" t="s">
        <v>1241</v>
      </c>
      <c r="J227" t="str">
        <f>VLOOKUP(Table22[[#This Row],[ID Karyawan]],[2]Sheet1!$B$4:$AC$363,13,FALSE)</f>
        <v>Lab., QC., &amp; QA</v>
      </c>
    </row>
    <row r="228" spans="1:10" hidden="1">
      <c r="A228" s="2" t="s">
        <v>745</v>
      </c>
      <c r="B228" s="5" t="s">
        <v>746</v>
      </c>
      <c r="C228" t="s">
        <v>540</v>
      </c>
      <c r="D228" t="s">
        <v>705</v>
      </c>
      <c r="E228" t="s">
        <v>1238</v>
      </c>
      <c r="F228" t="s">
        <v>1245</v>
      </c>
      <c r="H228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30-07-000-00</v>
      </c>
      <c r="I228" t="s">
        <v>1242</v>
      </c>
      <c r="J228" t="str">
        <f>VLOOKUP(Table22[[#This Row],[ID Karyawan]],[2]Sheet1!$B$4:$AC$363,13,FALSE)</f>
        <v>Lab., QC., &amp; QA</v>
      </c>
    </row>
    <row r="229" spans="1:10" hidden="1">
      <c r="A229" s="2" t="s">
        <v>804</v>
      </c>
      <c r="B229" s="5" t="s">
        <v>805</v>
      </c>
      <c r="C229" t="s">
        <v>540</v>
      </c>
      <c r="D229" t="s">
        <v>705</v>
      </c>
      <c r="E229" t="s">
        <v>1238</v>
      </c>
      <c r="F229" t="s">
        <v>1245</v>
      </c>
      <c r="H229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30-07-000-00</v>
      </c>
      <c r="I229" t="s">
        <v>1242</v>
      </c>
      <c r="J229" t="str">
        <f>VLOOKUP(Table22[[#This Row],[ID Karyawan]],[2]Sheet1!$B$4:$AC$363,13,FALSE)</f>
        <v>Lab., QC., &amp; QA</v>
      </c>
    </row>
    <row r="230" spans="1:10" hidden="1">
      <c r="A230" s="2" t="s">
        <v>807</v>
      </c>
      <c r="B230" s="5" t="s">
        <v>808</v>
      </c>
      <c r="C230" t="s">
        <v>540</v>
      </c>
      <c r="D230" t="s">
        <v>705</v>
      </c>
      <c r="E230" t="s">
        <v>1238</v>
      </c>
      <c r="F230" t="s">
        <v>1245</v>
      </c>
      <c r="H230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30-07-000-00</v>
      </c>
      <c r="I230" t="s">
        <v>1242</v>
      </c>
      <c r="J230" t="str">
        <f>VLOOKUP(Table22[[#This Row],[ID Karyawan]],[2]Sheet1!$B$4:$AC$363,13,FALSE)</f>
        <v>Lab., QC., &amp; QA</v>
      </c>
    </row>
    <row r="231" spans="1:10" hidden="1">
      <c r="A231" s="2" t="s">
        <v>810</v>
      </c>
      <c r="B231" s="5" t="s">
        <v>811</v>
      </c>
      <c r="C231" t="s">
        <v>540</v>
      </c>
      <c r="D231" t="s">
        <v>705</v>
      </c>
      <c r="E231" t="s">
        <v>1238</v>
      </c>
      <c r="F231" t="s">
        <v>1245</v>
      </c>
      <c r="H231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30-07-000-00</v>
      </c>
      <c r="I231" t="s">
        <v>1242</v>
      </c>
      <c r="J231" t="str">
        <f>VLOOKUP(Table22[[#This Row],[ID Karyawan]],[2]Sheet1!$B$4:$AC$363,13,FALSE)</f>
        <v>Lab., QC., &amp; QA</v>
      </c>
    </row>
    <row r="232" spans="1:10" hidden="1">
      <c r="A232" s="2" t="s">
        <v>773</v>
      </c>
      <c r="B232" s="5" t="s">
        <v>774</v>
      </c>
      <c r="C232" t="s">
        <v>71</v>
      </c>
      <c r="D232" t="s">
        <v>705</v>
      </c>
      <c r="E232" t="s">
        <v>1238</v>
      </c>
      <c r="F232" t="s">
        <v>1246</v>
      </c>
      <c r="H232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30-07-000-00</v>
      </c>
      <c r="I232" t="s">
        <v>1241</v>
      </c>
      <c r="J232" t="str">
        <f>VLOOKUP(Table22[[#This Row],[ID Karyawan]],[2]Sheet1!$B$4:$AC$363,13,FALSE)</f>
        <v>Lab., QC., &amp; QA</v>
      </c>
    </row>
    <row r="233" spans="1:10" hidden="1">
      <c r="A233" s="2" t="s">
        <v>801</v>
      </c>
      <c r="B233" s="5" t="s">
        <v>802</v>
      </c>
      <c r="C233" t="s">
        <v>540</v>
      </c>
      <c r="D233" t="s">
        <v>705</v>
      </c>
      <c r="E233" t="s">
        <v>1238</v>
      </c>
      <c r="F233" t="s">
        <v>1246</v>
      </c>
      <c r="H233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30-07-000-00</v>
      </c>
      <c r="I233" t="s">
        <v>1247</v>
      </c>
      <c r="J233" t="str">
        <f>VLOOKUP(Table22[[#This Row],[ID Karyawan]],[2]Sheet1!$B$4:$AC$363,13,FALSE)</f>
        <v>Lab., QC., &amp; QA</v>
      </c>
    </row>
    <row r="234" spans="1:10" hidden="1">
      <c r="A234" s="2" t="s">
        <v>814</v>
      </c>
      <c r="B234" s="5" t="s">
        <v>815</v>
      </c>
      <c r="C234" t="s">
        <v>540</v>
      </c>
      <c r="D234" t="s">
        <v>705</v>
      </c>
      <c r="E234" t="s">
        <v>1238</v>
      </c>
      <c r="F234" t="s">
        <v>1246</v>
      </c>
      <c r="H234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30-07-000-00</v>
      </c>
      <c r="I234" t="s">
        <v>1247</v>
      </c>
      <c r="J234" t="str">
        <f>VLOOKUP(Table22[[#This Row],[ID Karyawan]],[2]Sheet1!$B$4:$AC$363,13,FALSE)</f>
        <v>Lab., QC., &amp; QA</v>
      </c>
    </row>
    <row r="235" spans="1:10" hidden="1">
      <c r="A235" s="2" t="s">
        <v>818</v>
      </c>
      <c r="B235" s="5" t="s">
        <v>819</v>
      </c>
      <c r="C235" t="s">
        <v>540</v>
      </c>
      <c r="D235" t="s">
        <v>705</v>
      </c>
      <c r="E235" t="s">
        <v>1238</v>
      </c>
      <c r="F235" t="s">
        <v>1246</v>
      </c>
      <c r="H235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30-07-000-00</v>
      </c>
      <c r="I235" t="s">
        <v>1247</v>
      </c>
      <c r="J235" t="str">
        <f>VLOOKUP(Table22[[#This Row],[ID Karyawan]],[2]Sheet1!$B$4:$AC$363,13,FALSE)</f>
        <v>Lab., QC., &amp; QA</v>
      </c>
    </row>
    <row r="236" spans="1:10" hidden="1">
      <c r="A236" s="2" t="s">
        <v>821</v>
      </c>
      <c r="B236" s="5" t="s">
        <v>822</v>
      </c>
      <c r="C236" t="s">
        <v>540</v>
      </c>
      <c r="D236" t="s">
        <v>705</v>
      </c>
      <c r="E236" t="s">
        <v>1238</v>
      </c>
      <c r="F236" t="s">
        <v>1246</v>
      </c>
      <c r="H236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30-07-000-00</v>
      </c>
      <c r="I236" t="s">
        <v>1247</v>
      </c>
      <c r="J236" t="str">
        <f>VLOOKUP(Table22[[#This Row],[ID Karyawan]],[2]Sheet1!$B$4:$AC$363,13,FALSE)</f>
        <v>Lab., QC., &amp; QA</v>
      </c>
    </row>
    <row r="237" spans="1:10" hidden="1">
      <c r="A237" s="2" t="s">
        <v>823</v>
      </c>
      <c r="B237" s="5" t="s">
        <v>824</v>
      </c>
      <c r="C237" t="s">
        <v>540</v>
      </c>
      <c r="D237" t="s">
        <v>705</v>
      </c>
      <c r="E237" t="s">
        <v>1238</v>
      </c>
      <c r="F237" t="s">
        <v>1246</v>
      </c>
      <c r="H237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30-07-000-00</v>
      </c>
      <c r="I237" t="s">
        <v>1247</v>
      </c>
      <c r="J237" t="str">
        <f>VLOOKUP(Table22[[#This Row],[ID Karyawan]],[2]Sheet1!$B$4:$AC$363,13,FALSE)</f>
        <v>Lab., QC., &amp; QA</v>
      </c>
    </row>
    <row r="238" spans="1:10" hidden="1">
      <c r="A238" t="s">
        <v>706</v>
      </c>
      <c r="B238" t="s">
        <v>707</v>
      </c>
      <c r="C238" t="s">
        <v>67</v>
      </c>
      <c r="D238" t="s">
        <v>705</v>
      </c>
      <c r="E238" t="s">
        <v>829</v>
      </c>
      <c r="H238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30-00-000-00</v>
      </c>
      <c r="I238" t="s">
        <v>1239</v>
      </c>
      <c r="J238" t="str">
        <f>VLOOKUP(Table22[[#This Row],[ID Karyawan]],[2]Sheet1!$B$4:$AC$363,13,FALSE)</f>
        <v>Lab., QC., &amp; QA</v>
      </c>
    </row>
    <row r="239" spans="1:10" hidden="1">
      <c r="A239" s="2" t="s">
        <v>826</v>
      </c>
      <c r="B239" s="5" t="s">
        <v>827</v>
      </c>
      <c r="C239" t="s">
        <v>71</v>
      </c>
      <c r="D239" t="s">
        <v>705</v>
      </c>
      <c r="E239" t="s">
        <v>829</v>
      </c>
      <c r="F239" t="s">
        <v>1248</v>
      </c>
      <c r="H239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30-00-014-00</v>
      </c>
      <c r="I239" t="s">
        <v>1249</v>
      </c>
      <c r="J239" t="str">
        <f>VLOOKUP(Table22[[#This Row],[ID Karyawan]],[2]Sheet1!$B$4:$AC$363,13,FALSE)</f>
        <v>Lab., QC., &amp; QA</v>
      </c>
    </row>
    <row r="240" spans="1:10" hidden="1">
      <c r="A240" t="s">
        <v>850</v>
      </c>
      <c r="B240" t="s">
        <v>851</v>
      </c>
      <c r="C240" t="s">
        <v>67</v>
      </c>
      <c r="D240" t="s">
        <v>705</v>
      </c>
      <c r="E240" t="s">
        <v>852</v>
      </c>
      <c r="H240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30-09-000-00</v>
      </c>
      <c r="I240" t="s">
        <v>1239</v>
      </c>
      <c r="J240" t="str">
        <f>VLOOKUP(Table22[[#This Row],[ID Karyawan]],[2]Sheet1!$B$4:$AC$363,13,FALSE)</f>
        <v>HRD &amp; GA</v>
      </c>
    </row>
    <row r="241" spans="1:10" hidden="1">
      <c r="A241" t="s">
        <v>47</v>
      </c>
      <c r="B241" t="s">
        <v>48</v>
      </c>
      <c r="C241" t="s">
        <v>60</v>
      </c>
      <c r="D241" t="s">
        <v>857</v>
      </c>
      <c r="H241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40-00-000-00</v>
      </c>
      <c r="I241" t="s">
        <v>1217</v>
      </c>
      <c r="J241" t="str">
        <f>VLOOKUP(Table22[[#This Row],[ID Karyawan]],[2]Sheet1!$B$4:$AC$363,13,FALSE)</f>
        <v>Manajemen</v>
      </c>
    </row>
    <row r="242" spans="1:10" hidden="1">
      <c r="A242" t="s">
        <v>858</v>
      </c>
      <c r="B242" t="s">
        <v>1250</v>
      </c>
      <c r="C242" t="s">
        <v>67</v>
      </c>
      <c r="D242" t="s">
        <v>857</v>
      </c>
      <c r="E242" t="s">
        <v>857</v>
      </c>
      <c r="H242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40-11-000-00</v>
      </c>
      <c r="I242" t="s">
        <v>1251</v>
      </c>
      <c r="J242" t="str">
        <f>VLOOKUP(Table22[[#This Row],[ID Karyawan]],[2]Sheet1!$B$4:$AC$363,13,FALSE)</f>
        <v>HRD &amp; GA</v>
      </c>
    </row>
    <row r="243" spans="1:10" hidden="1">
      <c r="A243" t="s">
        <v>868</v>
      </c>
      <c r="B243" t="s">
        <v>1252</v>
      </c>
      <c r="C243" t="s">
        <v>540</v>
      </c>
      <c r="D243" t="s">
        <v>857</v>
      </c>
      <c r="E243" t="s">
        <v>857</v>
      </c>
      <c r="F243" t="s">
        <v>862</v>
      </c>
      <c r="H243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40-11-016-00</v>
      </c>
      <c r="I243" t="s">
        <v>1253</v>
      </c>
      <c r="J243" t="str">
        <f>VLOOKUP(Table22[[#This Row],[ID Karyawan]],[2]Sheet1!$B$4:$AC$363,13,FALSE)</f>
        <v>HRD &amp; GA</v>
      </c>
    </row>
    <row r="244" spans="1:10" hidden="1">
      <c r="A244" t="s">
        <v>860</v>
      </c>
      <c r="B244" t="s">
        <v>861</v>
      </c>
      <c r="C244" t="s">
        <v>71</v>
      </c>
      <c r="D244" t="s">
        <v>857</v>
      </c>
      <c r="E244" t="s">
        <v>857</v>
      </c>
      <c r="F244" t="s">
        <v>862</v>
      </c>
      <c r="H244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40-11-016-00</v>
      </c>
      <c r="I244" t="s">
        <v>1253</v>
      </c>
      <c r="J244" t="str">
        <f>VLOOKUP(Table22[[#This Row],[ID Karyawan]],[2]Sheet1!$B$4:$AC$363,13,FALSE)</f>
        <v>HRD &amp; GA</v>
      </c>
    </row>
    <row r="245" spans="1:10" hidden="1">
      <c r="A245" s="2" t="s">
        <v>884</v>
      </c>
      <c r="B245" s="5" t="s">
        <v>885</v>
      </c>
      <c r="C245" t="s">
        <v>540</v>
      </c>
      <c r="D245" t="s">
        <v>857</v>
      </c>
      <c r="E245" t="s">
        <v>857</v>
      </c>
      <c r="F245" t="s">
        <v>862</v>
      </c>
      <c r="H245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40-11-016-00</v>
      </c>
      <c r="I245" t="s">
        <v>1253</v>
      </c>
      <c r="J245" t="str">
        <f>VLOOKUP(Table22[[#This Row],[ID Karyawan]],[2]Sheet1!$B$4:$AC$363,13,FALSE)</f>
        <v>HRD &amp; GA</v>
      </c>
    </row>
    <row r="246" spans="1:10" hidden="1">
      <c r="A246" s="2" t="s">
        <v>923</v>
      </c>
      <c r="B246" s="5" t="s">
        <v>924</v>
      </c>
      <c r="C246" t="s">
        <v>540</v>
      </c>
      <c r="D246" t="s">
        <v>857</v>
      </c>
      <c r="E246" t="s">
        <v>857</v>
      </c>
      <c r="F246" t="s">
        <v>862</v>
      </c>
      <c r="H246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40-11-016-00</v>
      </c>
      <c r="I246" t="s">
        <v>1253</v>
      </c>
      <c r="J246" t="str">
        <f>VLOOKUP(Table22[[#This Row],[ID Karyawan]],[2]Sheet1!$B$4:$AC$363,13,FALSE)</f>
        <v>HRD &amp; GA Jakarta</v>
      </c>
    </row>
    <row r="247" spans="1:10" hidden="1">
      <c r="A247" s="4" t="s">
        <v>881</v>
      </c>
      <c r="B247" s="5" t="s">
        <v>882</v>
      </c>
      <c r="C247" t="s">
        <v>540</v>
      </c>
      <c r="D247" t="s">
        <v>857</v>
      </c>
      <c r="E247" t="s">
        <v>857</v>
      </c>
      <c r="F247" t="s">
        <v>862</v>
      </c>
      <c r="H247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40-11-016-00</v>
      </c>
      <c r="I247" t="s">
        <v>1253</v>
      </c>
      <c r="J247" t="str">
        <f>VLOOKUP(Table22[[#This Row],[ID Karyawan]],[2]Sheet1!$B$4:$AC$363,13,FALSE)</f>
        <v>HRD &amp; GA</v>
      </c>
    </row>
    <row r="248" spans="1:10" hidden="1">
      <c r="A248" s="2" t="s">
        <v>925</v>
      </c>
      <c r="B248" s="5" t="s">
        <v>926</v>
      </c>
      <c r="C248" t="s">
        <v>540</v>
      </c>
      <c r="D248" t="s">
        <v>857</v>
      </c>
      <c r="E248" t="s">
        <v>857</v>
      </c>
      <c r="F248" t="s">
        <v>862</v>
      </c>
      <c r="H248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40-11-016-00</v>
      </c>
      <c r="I248" t="s">
        <v>1253</v>
      </c>
      <c r="J248" t="str">
        <f>VLOOKUP(Table22[[#This Row],[ID Karyawan]],[2]Sheet1!$B$4:$AC$363,13,FALSE)</f>
        <v>HRD &amp; GA Jakarta</v>
      </c>
    </row>
    <row r="249" spans="1:10" hidden="1">
      <c r="A249" s="2" t="s">
        <v>918</v>
      </c>
      <c r="B249" s="5" t="s">
        <v>919</v>
      </c>
      <c r="C249" t="s">
        <v>702</v>
      </c>
      <c r="D249" t="s">
        <v>857</v>
      </c>
      <c r="E249" t="s">
        <v>857</v>
      </c>
      <c r="F249" t="s">
        <v>862</v>
      </c>
      <c r="H249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40-11-016-00</v>
      </c>
      <c r="I249" t="s">
        <v>1253</v>
      </c>
      <c r="J249" t="str">
        <f>VLOOKUP(Table22[[#This Row],[ID Karyawan]],[2]Sheet1!$B$4:$AC$363,13,FALSE)</f>
        <v>HRD &amp; GA Jakarta</v>
      </c>
    </row>
    <row r="250" spans="1:10" hidden="1">
      <c r="A250" s="2" t="s">
        <v>947</v>
      </c>
      <c r="B250" s="5" t="s">
        <v>948</v>
      </c>
      <c r="D250" t="s">
        <v>857</v>
      </c>
      <c r="E250" t="s">
        <v>857</v>
      </c>
      <c r="F250" t="s">
        <v>862</v>
      </c>
      <c r="H250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40-11-016-00</v>
      </c>
      <c r="I250" t="s">
        <v>1253</v>
      </c>
      <c r="J250" t="str">
        <f>VLOOKUP(Table22[[#This Row],[ID Karyawan]],[2]Sheet1!$B$4:$AC$363,13,FALSE)</f>
        <v>HRD &amp; GA</v>
      </c>
    </row>
    <row r="251" spans="1:10" hidden="1">
      <c r="A251" s="2" t="s">
        <v>1254</v>
      </c>
      <c r="B251" s="5" t="s">
        <v>1255</v>
      </c>
      <c r="D251" t="s">
        <v>857</v>
      </c>
      <c r="E251" t="s">
        <v>857</v>
      </c>
      <c r="F251" t="s">
        <v>862</v>
      </c>
      <c r="H251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40-11-016-00</v>
      </c>
      <c r="I251" t="s">
        <v>1253</v>
      </c>
      <c r="J251" t="e">
        <f>VLOOKUP(Table22[[#This Row],[ID Karyawan]],[2]Sheet1!$B$4:$AC$363,13,FALSE)</f>
        <v>#N/A</v>
      </c>
    </row>
    <row r="252" spans="1:10" hidden="1">
      <c r="A252" s="2" t="s">
        <v>953</v>
      </c>
      <c r="B252" s="5" t="s">
        <v>954</v>
      </c>
      <c r="D252" t="s">
        <v>857</v>
      </c>
      <c r="E252" t="s">
        <v>857</v>
      </c>
      <c r="F252" t="s">
        <v>862</v>
      </c>
      <c r="H252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40-11-016-00</v>
      </c>
      <c r="I252" t="s">
        <v>1253</v>
      </c>
      <c r="J252" t="str">
        <f>VLOOKUP(Table22[[#This Row],[ID Karyawan]],[2]Sheet1!$B$4:$AC$363,13,FALSE)</f>
        <v>HRD &amp; GA</v>
      </c>
    </row>
    <row r="253" spans="1:10" hidden="1">
      <c r="A253" s="2" t="s">
        <v>950</v>
      </c>
      <c r="B253" s="5" t="s">
        <v>951</v>
      </c>
      <c r="D253" t="s">
        <v>857</v>
      </c>
      <c r="E253" t="s">
        <v>857</v>
      </c>
      <c r="F253" t="s">
        <v>862</v>
      </c>
      <c r="H253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40-11-016-00</v>
      </c>
      <c r="I253" t="s">
        <v>1253</v>
      </c>
      <c r="J253" t="str">
        <f>VLOOKUP(Table22[[#This Row],[ID Karyawan]],[2]Sheet1!$B$4:$AC$363,13,FALSE)</f>
        <v>HRD &amp; GA</v>
      </c>
    </row>
    <row r="254" spans="1:10" hidden="1">
      <c r="A254" s="2" t="s">
        <v>959</v>
      </c>
      <c r="B254" s="5" t="s">
        <v>960</v>
      </c>
      <c r="D254" t="s">
        <v>857</v>
      </c>
      <c r="E254" t="s">
        <v>857</v>
      </c>
      <c r="F254" t="s">
        <v>862</v>
      </c>
      <c r="H254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40-11-016-00</v>
      </c>
      <c r="I254" t="s">
        <v>1253</v>
      </c>
      <c r="J254" t="str">
        <f>VLOOKUP(Table22[[#This Row],[ID Karyawan]],[2]Sheet1!$B$4:$AC$363,13,FALSE)</f>
        <v>HRD &amp; GA</v>
      </c>
    </row>
    <row r="255" spans="1:10" hidden="1">
      <c r="A255" s="2" t="s">
        <v>955</v>
      </c>
      <c r="B255" s="5" t="s">
        <v>956</v>
      </c>
      <c r="D255" t="s">
        <v>857</v>
      </c>
      <c r="E255" t="s">
        <v>857</v>
      </c>
      <c r="F255" t="s">
        <v>862</v>
      </c>
      <c r="H255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40-11-016-00</v>
      </c>
      <c r="I255" t="s">
        <v>1253</v>
      </c>
      <c r="J255" t="str">
        <f>VLOOKUP(Table22[[#This Row],[ID Karyawan]],[2]Sheet1!$B$4:$AC$363,13,FALSE)</f>
        <v>HRD &amp; GA</v>
      </c>
    </row>
    <row r="256" spans="1:10" hidden="1">
      <c r="A256" s="2" t="s">
        <v>894</v>
      </c>
      <c r="B256" s="5" t="s">
        <v>895</v>
      </c>
      <c r="D256" t="s">
        <v>857</v>
      </c>
      <c r="E256" t="s">
        <v>857</v>
      </c>
      <c r="F256" t="s">
        <v>862</v>
      </c>
      <c r="H256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40-11-016-00</v>
      </c>
      <c r="I256" t="s">
        <v>1253</v>
      </c>
      <c r="J256" t="str">
        <f>VLOOKUP(Table22[[#This Row],[ID Karyawan]],[2]Sheet1!$B$4:$AC$363,13,FALSE)</f>
        <v>HRD &amp; GA</v>
      </c>
    </row>
    <row r="257" spans="1:10" hidden="1">
      <c r="A257" s="2" t="s">
        <v>905</v>
      </c>
      <c r="B257" s="5" t="s">
        <v>906</v>
      </c>
      <c r="D257" t="s">
        <v>857</v>
      </c>
      <c r="E257" t="s">
        <v>857</v>
      </c>
      <c r="F257" t="s">
        <v>862</v>
      </c>
      <c r="H257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40-11-016-00</v>
      </c>
      <c r="I257" t="s">
        <v>1253</v>
      </c>
      <c r="J257" t="str">
        <f>VLOOKUP(Table22[[#This Row],[ID Karyawan]],[2]Sheet1!$B$4:$AC$363,13,FALSE)</f>
        <v>HRD &amp; GA Jakarta</v>
      </c>
    </row>
    <row r="258" spans="1:10" hidden="1">
      <c r="A258" s="2" t="s">
        <v>888</v>
      </c>
      <c r="B258" s="5" t="s">
        <v>889</v>
      </c>
      <c r="D258" t="s">
        <v>857</v>
      </c>
      <c r="E258" t="s">
        <v>857</v>
      </c>
      <c r="F258" t="s">
        <v>862</v>
      </c>
      <c r="H258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40-11-016-00</v>
      </c>
      <c r="I258" t="s">
        <v>1253</v>
      </c>
      <c r="J258" t="str">
        <f>VLOOKUP(Table22[[#This Row],[ID Karyawan]],[2]Sheet1!$B$4:$AC$363,13,FALSE)</f>
        <v>HRD &amp; GA</v>
      </c>
    </row>
    <row r="259" spans="1:10" hidden="1">
      <c r="A259" s="2" t="s">
        <v>896</v>
      </c>
      <c r="B259" s="5" t="s">
        <v>897</v>
      </c>
      <c r="D259" t="s">
        <v>857</v>
      </c>
      <c r="E259" t="s">
        <v>857</v>
      </c>
      <c r="F259" t="s">
        <v>862</v>
      </c>
      <c r="H259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40-11-016-00</v>
      </c>
      <c r="I259" t="s">
        <v>1253</v>
      </c>
      <c r="J259" t="str">
        <f>VLOOKUP(Table22[[#This Row],[ID Karyawan]],[2]Sheet1!$B$4:$AC$363,13,FALSE)</f>
        <v>HRD &amp; GA</v>
      </c>
    </row>
    <row r="260" spans="1:10" hidden="1">
      <c r="A260" s="2" t="s">
        <v>898</v>
      </c>
      <c r="B260" s="5" t="s">
        <v>497</v>
      </c>
      <c r="D260" t="s">
        <v>857</v>
      </c>
      <c r="E260" t="s">
        <v>857</v>
      </c>
      <c r="F260" t="s">
        <v>862</v>
      </c>
      <c r="H260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40-11-016-00</v>
      </c>
      <c r="I260" t="s">
        <v>1253</v>
      </c>
      <c r="J260" t="str">
        <f>VLOOKUP(Table22[[#This Row],[ID Karyawan]],[2]Sheet1!$B$4:$AC$363,13,FALSE)</f>
        <v>HRD &amp; GA</v>
      </c>
    </row>
    <row r="261" spans="1:10" hidden="1">
      <c r="A261" s="2" t="s">
        <v>901</v>
      </c>
      <c r="B261" s="5" t="s">
        <v>902</v>
      </c>
      <c r="D261" t="s">
        <v>857</v>
      </c>
      <c r="E261" t="s">
        <v>857</v>
      </c>
      <c r="F261" t="s">
        <v>862</v>
      </c>
      <c r="H261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40-11-016-00</v>
      </c>
      <c r="I261" t="s">
        <v>1253</v>
      </c>
      <c r="J261" t="str">
        <f>VLOOKUP(Table22[[#This Row],[ID Karyawan]],[2]Sheet1!$B$4:$AC$363,13,FALSE)</f>
        <v>HRD &amp; GA</v>
      </c>
    </row>
    <row r="262" spans="1:10" hidden="1">
      <c r="A262" s="2" t="s">
        <v>892</v>
      </c>
      <c r="B262" s="5" t="s">
        <v>893</v>
      </c>
      <c r="D262" t="s">
        <v>857</v>
      </c>
      <c r="E262" t="s">
        <v>857</v>
      </c>
      <c r="F262" t="s">
        <v>862</v>
      </c>
      <c r="H262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40-11-016-00</v>
      </c>
      <c r="I262" t="s">
        <v>1253</v>
      </c>
      <c r="J262" t="str">
        <f>VLOOKUP(Table22[[#This Row],[ID Karyawan]],[2]Sheet1!$B$4:$AC$363,13,FALSE)</f>
        <v>HRD &amp; GA</v>
      </c>
    </row>
    <row r="263" spans="1:10" hidden="1">
      <c r="A263" s="2" t="s">
        <v>907</v>
      </c>
      <c r="B263" s="5" t="s">
        <v>908</v>
      </c>
      <c r="D263" t="s">
        <v>857</v>
      </c>
      <c r="E263" t="s">
        <v>857</v>
      </c>
      <c r="F263" t="s">
        <v>862</v>
      </c>
      <c r="H263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40-11-016-00</v>
      </c>
      <c r="I263" t="s">
        <v>1253</v>
      </c>
      <c r="J263" t="str">
        <f>VLOOKUP(Table22[[#This Row],[ID Karyawan]],[2]Sheet1!$B$4:$AC$363,13,FALSE)</f>
        <v>HRD &amp; GA Jakarta</v>
      </c>
    </row>
    <row r="264" spans="1:10" hidden="1">
      <c r="A264" s="2" t="s">
        <v>1256</v>
      </c>
      <c r="B264" s="5" t="s">
        <v>1257</v>
      </c>
      <c r="D264" t="s">
        <v>857</v>
      </c>
      <c r="E264" t="s">
        <v>857</v>
      </c>
      <c r="F264" t="s">
        <v>862</v>
      </c>
      <c r="H264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40-11-016-00</v>
      </c>
      <c r="I264" t="s">
        <v>1253</v>
      </c>
      <c r="J264" t="e">
        <f>VLOOKUP(Table22[[#This Row],[ID Karyawan]],[2]Sheet1!$B$4:$AC$363,13,FALSE)</f>
        <v>#N/A</v>
      </c>
    </row>
    <row r="265" spans="1:10" hidden="1">
      <c r="A265" t="s">
        <v>865</v>
      </c>
      <c r="B265" t="s">
        <v>866</v>
      </c>
      <c r="C265" t="s">
        <v>702</v>
      </c>
      <c r="D265" t="s">
        <v>857</v>
      </c>
      <c r="E265" t="s">
        <v>857</v>
      </c>
      <c r="F265" t="s">
        <v>1258</v>
      </c>
      <c r="H265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40-11-017-00</v>
      </c>
      <c r="I265" t="s">
        <v>1253</v>
      </c>
      <c r="J265" t="str">
        <f>VLOOKUP(Table22[[#This Row],[ID Karyawan]],[2]Sheet1!$B$4:$AC$363,13,FALSE)</f>
        <v>HRD &amp; GA</v>
      </c>
    </row>
    <row r="266" spans="1:10" hidden="1">
      <c r="A266" t="s">
        <v>875</v>
      </c>
      <c r="B266" t="s">
        <v>876</v>
      </c>
      <c r="C266" t="s">
        <v>702</v>
      </c>
      <c r="D266" t="s">
        <v>857</v>
      </c>
      <c r="E266" t="s">
        <v>857</v>
      </c>
      <c r="F266" t="s">
        <v>874</v>
      </c>
      <c r="H266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40-11-018-00</v>
      </c>
      <c r="I266" t="s">
        <v>1253</v>
      </c>
      <c r="J266" t="str">
        <f>VLOOKUP(Table22[[#This Row],[ID Karyawan]],[2]Sheet1!$B$4:$AC$363,13,FALSE)</f>
        <v>HRD &amp; GA</v>
      </c>
    </row>
    <row r="267" spans="1:10" hidden="1">
      <c r="A267" s="2" t="s">
        <v>927</v>
      </c>
      <c r="B267" s="5" t="s">
        <v>928</v>
      </c>
      <c r="C267" t="s">
        <v>71</v>
      </c>
      <c r="D267" t="s">
        <v>857</v>
      </c>
      <c r="E267" t="s">
        <v>857</v>
      </c>
      <c r="F267" t="s">
        <v>929</v>
      </c>
      <c r="H267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40-11-019-00</v>
      </c>
      <c r="I267" t="s">
        <v>1253</v>
      </c>
      <c r="J267" t="str">
        <f>VLOOKUP(Table22[[#This Row],[ID Karyawan]],[2]Sheet1!$B$4:$AC$363,13,FALSE)</f>
        <v>HRD &amp; GA</v>
      </c>
    </row>
    <row r="268" spans="1:10" hidden="1">
      <c r="A268" s="2" t="s">
        <v>932</v>
      </c>
      <c r="B268" s="5" t="s">
        <v>933</v>
      </c>
      <c r="C268" t="s">
        <v>540</v>
      </c>
      <c r="D268" t="s">
        <v>857</v>
      </c>
      <c r="E268" t="s">
        <v>857</v>
      </c>
      <c r="F268" t="s">
        <v>929</v>
      </c>
      <c r="H268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40-11-019-00</v>
      </c>
      <c r="I268" t="s">
        <v>1259</v>
      </c>
      <c r="J268" t="str">
        <f>VLOOKUP(Table22[[#This Row],[ID Karyawan]],[2]Sheet1!$B$4:$AC$363,13,FALSE)</f>
        <v>HRD &amp; GA</v>
      </c>
    </row>
    <row r="269" spans="1:10" hidden="1">
      <c r="A269" s="2" t="s">
        <v>941</v>
      </c>
      <c r="B269" s="5" t="s">
        <v>942</v>
      </c>
      <c r="C269" t="s">
        <v>540</v>
      </c>
      <c r="D269" t="s">
        <v>857</v>
      </c>
      <c r="E269" t="s">
        <v>857</v>
      </c>
      <c r="F269" t="s">
        <v>929</v>
      </c>
      <c r="H269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40-11-019-00</v>
      </c>
      <c r="I269" t="s">
        <v>1259</v>
      </c>
      <c r="J269" t="str">
        <f>VLOOKUP(Table22[[#This Row],[ID Karyawan]],[2]Sheet1!$B$4:$AC$363,13,FALSE)</f>
        <v>HRD &amp; GA</v>
      </c>
    </row>
    <row r="270" spans="1:10" hidden="1">
      <c r="A270" s="2" t="s">
        <v>937</v>
      </c>
      <c r="B270" s="5" t="s">
        <v>938</v>
      </c>
      <c r="C270" t="s">
        <v>540</v>
      </c>
      <c r="D270" t="s">
        <v>857</v>
      </c>
      <c r="E270" t="s">
        <v>857</v>
      </c>
      <c r="F270" t="s">
        <v>929</v>
      </c>
      <c r="H270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40-11-019-00</v>
      </c>
      <c r="I270" t="s">
        <v>1259</v>
      </c>
      <c r="J270" t="str">
        <f>VLOOKUP(Table22[[#This Row],[ID Karyawan]],[2]Sheet1!$B$4:$AC$363,13,FALSE)</f>
        <v>HRD &amp; GA</v>
      </c>
    </row>
    <row r="271" spans="1:10" hidden="1">
      <c r="A271" s="2" t="s">
        <v>945</v>
      </c>
      <c r="B271" s="5" t="s">
        <v>946</v>
      </c>
      <c r="C271" t="s">
        <v>540</v>
      </c>
      <c r="D271" t="s">
        <v>857</v>
      </c>
      <c r="E271" t="s">
        <v>857</v>
      </c>
      <c r="F271" t="s">
        <v>929</v>
      </c>
      <c r="H271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40-11-019-00</v>
      </c>
      <c r="I271" t="s">
        <v>1259</v>
      </c>
      <c r="J271" t="str">
        <f>VLOOKUP(Table22[[#This Row],[ID Karyawan]],[2]Sheet1!$B$4:$AC$363,13,FALSE)</f>
        <v>HRD &amp; GA</v>
      </c>
    </row>
    <row r="272" spans="1:10" hidden="1">
      <c r="A272" t="s">
        <v>850</v>
      </c>
      <c r="B272" t="s">
        <v>851</v>
      </c>
      <c r="C272" t="s">
        <v>67</v>
      </c>
      <c r="D272" t="s">
        <v>857</v>
      </c>
      <c r="E272" t="s">
        <v>967</v>
      </c>
      <c r="H272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40-12-000-00</v>
      </c>
      <c r="I272" t="s">
        <v>1251</v>
      </c>
      <c r="J272" t="str">
        <f>VLOOKUP(Table22[[#This Row],[ID Karyawan]],[2]Sheet1!$B$4:$AC$363,13,FALSE)</f>
        <v>HRD &amp; GA</v>
      </c>
    </row>
    <row r="273" spans="1:10" hidden="1">
      <c r="A273" t="s">
        <v>968</v>
      </c>
      <c r="B273" t="s">
        <v>969</v>
      </c>
      <c r="C273" t="s">
        <v>970</v>
      </c>
      <c r="D273" t="s">
        <v>857</v>
      </c>
      <c r="E273" t="s">
        <v>967</v>
      </c>
      <c r="H273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40-12-000-00</v>
      </c>
      <c r="I273" t="s">
        <v>1260</v>
      </c>
      <c r="J273" t="str">
        <f>VLOOKUP(Table22[[#This Row],[ID Karyawan]],[2]Sheet1!$B$4:$AC$363,13,FALSE)</f>
        <v>HRD &amp; GA</v>
      </c>
    </row>
    <row r="274" spans="1:10" hidden="1">
      <c r="A274" t="s">
        <v>55</v>
      </c>
      <c r="B274" t="s">
        <v>56</v>
      </c>
      <c r="C274" t="s">
        <v>65</v>
      </c>
      <c r="D274" t="s">
        <v>972</v>
      </c>
      <c r="H274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50-00-000-00</v>
      </c>
      <c r="I274" t="s">
        <v>1217</v>
      </c>
      <c r="J274" t="str">
        <f>VLOOKUP(Table22[[#This Row],[ID Karyawan]],[2]Sheet1!$B$4:$AC$363,13,FALSE)</f>
        <v>Manajemen</v>
      </c>
    </row>
    <row r="275" spans="1:10" hidden="1">
      <c r="A275" t="s">
        <v>973</v>
      </c>
      <c r="B275" t="s">
        <v>974</v>
      </c>
      <c r="C275" t="s">
        <v>67</v>
      </c>
      <c r="D275" t="s">
        <v>972</v>
      </c>
      <c r="E275" t="s">
        <v>972</v>
      </c>
      <c r="H275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50-06-000-00</v>
      </c>
      <c r="I275" t="s">
        <v>1261</v>
      </c>
      <c r="J275" t="str">
        <f>VLOOKUP(Table22[[#This Row],[ID Karyawan]],[2]Sheet1!$B$4:$AC$363,13,FALSE)</f>
        <v>Supply Chain</v>
      </c>
    </row>
    <row r="276" spans="1:10" hidden="1">
      <c r="A276" t="s">
        <v>975</v>
      </c>
      <c r="B276" t="s">
        <v>976</v>
      </c>
      <c r="C276" t="s">
        <v>551</v>
      </c>
      <c r="D276" t="s">
        <v>972</v>
      </c>
      <c r="E276" t="s">
        <v>972</v>
      </c>
      <c r="H276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50-06-000-00</v>
      </c>
      <c r="I276" t="s">
        <v>1262</v>
      </c>
      <c r="J276" t="str">
        <f>VLOOKUP(Table22[[#This Row],[ID Karyawan]],[2]Sheet1!$B$4:$AC$363,13,FALSE)</f>
        <v>Supply Chain</v>
      </c>
    </row>
    <row r="277" spans="1:10" hidden="1">
      <c r="A277" t="s">
        <v>977</v>
      </c>
      <c r="B277" t="s">
        <v>978</v>
      </c>
      <c r="C277" t="s">
        <v>551</v>
      </c>
      <c r="D277" t="s">
        <v>972</v>
      </c>
      <c r="E277" t="s">
        <v>972</v>
      </c>
      <c r="H277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50-06-000-00</v>
      </c>
      <c r="I277" t="s">
        <v>1262</v>
      </c>
      <c r="J277" t="str">
        <f>VLOOKUP(Table22[[#This Row],[ID Karyawan]],[2]Sheet1!$B$4:$AC$363,13,FALSE)</f>
        <v>Supply Chain</v>
      </c>
    </row>
    <row r="278" spans="1:10" hidden="1">
      <c r="A278" s="2" t="s">
        <v>1007</v>
      </c>
      <c r="B278" s="5" t="s">
        <v>1008</v>
      </c>
      <c r="C278" t="s">
        <v>540</v>
      </c>
      <c r="D278" t="s">
        <v>972</v>
      </c>
      <c r="E278" t="s">
        <v>972</v>
      </c>
      <c r="H278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50-06-000-00</v>
      </c>
      <c r="I278" t="s">
        <v>1262</v>
      </c>
      <c r="J278" t="str">
        <f>VLOOKUP(Table22[[#This Row],[ID Karyawan]],[2]Sheet1!$B$4:$AC$363,13,FALSE)</f>
        <v>Supply Chain</v>
      </c>
    </row>
    <row r="279" spans="1:10" hidden="1">
      <c r="A279" s="2" t="s">
        <v>1029</v>
      </c>
      <c r="B279" s="5" t="s">
        <v>1030</v>
      </c>
      <c r="C279" t="s">
        <v>540</v>
      </c>
      <c r="D279" t="s">
        <v>972</v>
      </c>
      <c r="E279" t="s">
        <v>972</v>
      </c>
      <c r="H279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50-06-000-00</v>
      </c>
      <c r="I279" t="s">
        <v>1262</v>
      </c>
      <c r="J279" t="str">
        <f>VLOOKUP(Table22[[#This Row],[ID Karyawan]],[2]Sheet1!$B$4:$AC$363,13,FALSE)</f>
        <v>Supply Chain</v>
      </c>
    </row>
    <row r="280" spans="1:10" hidden="1">
      <c r="A280" s="2" t="s">
        <v>1072</v>
      </c>
      <c r="B280" s="5" t="s">
        <v>1073</v>
      </c>
      <c r="C280" t="s">
        <v>540</v>
      </c>
      <c r="D280" t="s">
        <v>972</v>
      </c>
      <c r="E280" t="s">
        <v>972</v>
      </c>
      <c r="H280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50-06-000-00</v>
      </c>
      <c r="I280" t="s">
        <v>1262</v>
      </c>
      <c r="J280" t="str">
        <f>VLOOKUP(Table22[[#This Row],[ID Karyawan]],[2]Sheet1!$B$4:$AC$363,13,FALSE)</f>
        <v>Supply Chain</v>
      </c>
    </row>
    <row r="281" spans="1:10" hidden="1">
      <c r="A281" s="2" t="s">
        <v>1075</v>
      </c>
      <c r="B281" s="5" t="s">
        <v>1263</v>
      </c>
      <c r="C281" t="s">
        <v>540</v>
      </c>
      <c r="D281" t="s">
        <v>972</v>
      </c>
      <c r="E281" t="s">
        <v>972</v>
      </c>
      <c r="H281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50-06-000-00</v>
      </c>
      <c r="I281" t="s">
        <v>1262</v>
      </c>
      <c r="J281" t="str">
        <f>VLOOKUP(Table22[[#This Row],[ID Karyawan]],[2]Sheet1!$B$4:$AC$363,13,FALSE)</f>
        <v>Supply Chain</v>
      </c>
    </row>
    <row r="282" spans="1:10" hidden="1">
      <c r="A282" s="2" t="s">
        <v>981</v>
      </c>
      <c r="B282" s="5" t="s">
        <v>982</v>
      </c>
      <c r="C282" t="s">
        <v>540</v>
      </c>
      <c r="D282" t="s">
        <v>972</v>
      </c>
      <c r="E282" t="s">
        <v>972</v>
      </c>
      <c r="F282" t="s">
        <v>979</v>
      </c>
      <c r="H282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50-06-008-00</v>
      </c>
      <c r="I282" t="s">
        <v>1262</v>
      </c>
      <c r="J282" t="str">
        <f>VLOOKUP(Table22[[#This Row],[ID Karyawan]],[2]Sheet1!$B$4:$AC$363,13,FALSE)</f>
        <v>Supply Chain</v>
      </c>
    </row>
    <row r="283" spans="1:10" hidden="1">
      <c r="A283" s="2" t="s">
        <v>984</v>
      </c>
      <c r="B283" s="5" t="s">
        <v>985</v>
      </c>
      <c r="C283" t="s">
        <v>540</v>
      </c>
      <c r="D283" t="s">
        <v>972</v>
      </c>
      <c r="E283" t="s">
        <v>972</v>
      </c>
      <c r="F283" t="s">
        <v>979</v>
      </c>
      <c r="H283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50-06-008-00</v>
      </c>
      <c r="I283" t="s">
        <v>1262</v>
      </c>
      <c r="J283" t="str">
        <f>VLOOKUP(Table22[[#This Row],[ID Karyawan]],[2]Sheet1!$B$4:$AC$363,13,FALSE)</f>
        <v>Supply Chain</v>
      </c>
    </row>
    <row r="284" spans="1:10" hidden="1">
      <c r="A284" s="2" t="s">
        <v>987</v>
      </c>
      <c r="B284" s="5" t="s">
        <v>988</v>
      </c>
      <c r="C284" t="s">
        <v>540</v>
      </c>
      <c r="D284" t="s">
        <v>972</v>
      </c>
      <c r="E284" t="s">
        <v>972</v>
      </c>
      <c r="F284" t="s">
        <v>979</v>
      </c>
      <c r="H284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50-06-008-00</v>
      </c>
      <c r="I284" t="s">
        <v>1262</v>
      </c>
      <c r="J284" t="str">
        <f>VLOOKUP(Table22[[#This Row],[ID Karyawan]],[2]Sheet1!$B$4:$AC$363,13,FALSE)</f>
        <v>Supply Chain</v>
      </c>
    </row>
    <row r="285" spans="1:10" hidden="1">
      <c r="A285" s="4" t="s">
        <v>991</v>
      </c>
      <c r="B285" s="5" t="s">
        <v>992</v>
      </c>
      <c r="C285" t="s">
        <v>702</v>
      </c>
      <c r="D285" t="s">
        <v>972</v>
      </c>
      <c r="E285" t="s">
        <v>972</v>
      </c>
      <c r="F285" t="s">
        <v>979</v>
      </c>
      <c r="H285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50-06-008-00</v>
      </c>
      <c r="I285" t="s">
        <v>1262</v>
      </c>
      <c r="J285" t="str">
        <f>VLOOKUP(Table22[[#This Row],[ID Karyawan]],[2]Sheet1!$B$4:$AC$363,13,FALSE)</f>
        <v>Supply Chain</v>
      </c>
    </row>
    <row r="286" spans="1:10" hidden="1">
      <c r="A286" s="2" t="s">
        <v>993</v>
      </c>
      <c r="B286" s="5" t="s">
        <v>994</v>
      </c>
      <c r="C286" t="s">
        <v>71</v>
      </c>
      <c r="D286" t="s">
        <v>972</v>
      </c>
      <c r="E286" t="s">
        <v>972</v>
      </c>
      <c r="F286" t="s">
        <v>995</v>
      </c>
      <c r="H286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50-06-009-00</v>
      </c>
      <c r="I286" t="s">
        <v>1262</v>
      </c>
      <c r="J286" t="str">
        <f>VLOOKUP(Table22[[#This Row],[ID Karyawan]],[2]Sheet1!$B$4:$AC$363,13,FALSE)</f>
        <v>Supply Chain</v>
      </c>
    </row>
    <row r="287" spans="1:10" hidden="1">
      <c r="A287" s="2" t="s">
        <v>1079</v>
      </c>
      <c r="B287" s="5" t="s">
        <v>1080</v>
      </c>
      <c r="C287" t="s">
        <v>540</v>
      </c>
      <c r="D287" t="s">
        <v>972</v>
      </c>
      <c r="E287" t="s">
        <v>972</v>
      </c>
      <c r="F287" t="s">
        <v>995</v>
      </c>
      <c r="H287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50-06-009-00</v>
      </c>
      <c r="I287" t="s">
        <v>1264</v>
      </c>
      <c r="J287" t="str">
        <f>VLOOKUP(Table22[[#This Row],[ID Karyawan]],[2]Sheet1!$B$4:$AC$363,13,FALSE)</f>
        <v>Supply Chain</v>
      </c>
    </row>
    <row r="288" spans="1:10" hidden="1">
      <c r="A288" s="2" t="s">
        <v>1044</v>
      </c>
      <c r="B288" s="5" t="s">
        <v>1045</v>
      </c>
      <c r="C288" t="s">
        <v>540</v>
      </c>
      <c r="D288" t="s">
        <v>972</v>
      </c>
      <c r="E288" t="s">
        <v>972</v>
      </c>
      <c r="F288" t="s">
        <v>995</v>
      </c>
      <c r="H288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50-06-009-00</v>
      </c>
      <c r="I288" t="s">
        <v>1264</v>
      </c>
      <c r="J288" t="str">
        <f>VLOOKUP(Table22[[#This Row],[ID Karyawan]],[2]Sheet1!$B$4:$AC$363,13,FALSE)</f>
        <v>Supply Chain</v>
      </c>
    </row>
    <row r="289" spans="1:10" hidden="1">
      <c r="A289" s="2" t="s">
        <v>1087</v>
      </c>
      <c r="B289" s="5" t="s">
        <v>1088</v>
      </c>
      <c r="C289" t="s">
        <v>540</v>
      </c>
      <c r="D289" t="s">
        <v>972</v>
      </c>
      <c r="E289" t="s">
        <v>972</v>
      </c>
      <c r="F289" t="s">
        <v>995</v>
      </c>
      <c r="H289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50-06-009-00</v>
      </c>
      <c r="I289" t="s">
        <v>1264</v>
      </c>
      <c r="J289" t="str">
        <f>VLOOKUP(Table22[[#This Row],[ID Karyawan]],[2]Sheet1!$B$4:$AC$363,13,FALSE)</f>
        <v>Supply Chain</v>
      </c>
    </row>
    <row r="290" spans="1:10" hidden="1">
      <c r="A290" s="2" t="s">
        <v>1070</v>
      </c>
      <c r="B290" s="5" t="s">
        <v>1071</v>
      </c>
      <c r="C290" t="s">
        <v>540</v>
      </c>
      <c r="D290" t="s">
        <v>972</v>
      </c>
      <c r="E290" t="s">
        <v>972</v>
      </c>
      <c r="F290" t="s">
        <v>995</v>
      </c>
      <c r="H290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50-06-009-00</v>
      </c>
      <c r="I290" t="s">
        <v>1264</v>
      </c>
      <c r="J290" t="str">
        <f>VLOOKUP(Table22[[#This Row],[ID Karyawan]],[2]Sheet1!$B$4:$AC$363,13,FALSE)</f>
        <v>Supply Chain</v>
      </c>
    </row>
    <row r="291" spans="1:10" hidden="1">
      <c r="A291" s="2" t="s">
        <v>1040</v>
      </c>
      <c r="B291" s="5" t="s">
        <v>1041</v>
      </c>
      <c r="C291" t="s">
        <v>540</v>
      </c>
      <c r="D291" t="s">
        <v>972</v>
      </c>
      <c r="E291" t="s">
        <v>972</v>
      </c>
      <c r="F291" t="s">
        <v>995</v>
      </c>
      <c r="H291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50-06-009-00</v>
      </c>
      <c r="I291" t="s">
        <v>1264</v>
      </c>
      <c r="J291" t="str">
        <f>VLOOKUP(Table22[[#This Row],[ID Karyawan]],[2]Sheet1!$B$4:$AC$363,13,FALSE)</f>
        <v>Supply Chain</v>
      </c>
    </row>
    <row r="292" spans="1:10" hidden="1">
      <c r="A292" s="2" t="s">
        <v>1042</v>
      </c>
      <c r="B292" s="5" t="s">
        <v>1043</v>
      </c>
      <c r="C292" t="s">
        <v>540</v>
      </c>
      <c r="D292" t="s">
        <v>972</v>
      </c>
      <c r="E292" t="s">
        <v>972</v>
      </c>
      <c r="F292" t="s">
        <v>995</v>
      </c>
      <c r="H292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50-06-009-00</v>
      </c>
      <c r="I292" t="s">
        <v>1264</v>
      </c>
      <c r="J292" t="str">
        <f>VLOOKUP(Table22[[#This Row],[ID Karyawan]],[2]Sheet1!$B$4:$AC$363,13,FALSE)</f>
        <v>Supply Chain</v>
      </c>
    </row>
    <row r="293" spans="1:10" hidden="1">
      <c r="A293" s="2" t="s">
        <v>1054</v>
      </c>
      <c r="B293" s="5" t="s">
        <v>1055</v>
      </c>
      <c r="C293" t="s">
        <v>540</v>
      </c>
      <c r="D293" t="s">
        <v>972</v>
      </c>
      <c r="E293" t="s">
        <v>972</v>
      </c>
      <c r="F293" t="s">
        <v>995</v>
      </c>
      <c r="H293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50-06-009-00</v>
      </c>
      <c r="I293" t="s">
        <v>1264</v>
      </c>
      <c r="J293" t="str">
        <f>VLOOKUP(Table22[[#This Row],[ID Karyawan]],[2]Sheet1!$B$4:$AC$363,13,FALSE)</f>
        <v>Supply Chain</v>
      </c>
    </row>
    <row r="294" spans="1:10" hidden="1">
      <c r="A294" s="2" t="s">
        <v>1049</v>
      </c>
      <c r="B294" s="5" t="s">
        <v>1050</v>
      </c>
      <c r="C294" t="s">
        <v>540</v>
      </c>
      <c r="D294" t="s">
        <v>972</v>
      </c>
      <c r="E294" t="s">
        <v>972</v>
      </c>
      <c r="F294" t="s">
        <v>995</v>
      </c>
      <c r="H294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50-06-009-00</v>
      </c>
      <c r="I294" t="s">
        <v>1264</v>
      </c>
      <c r="J294" t="str">
        <f>VLOOKUP(Table22[[#This Row],[ID Karyawan]],[2]Sheet1!$B$4:$AC$363,13,FALSE)</f>
        <v>Supply Chain</v>
      </c>
    </row>
    <row r="295" spans="1:10" hidden="1">
      <c r="A295" s="2" t="s">
        <v>1081</v>
      </c>
      <c r="B295" s="5" t="s">
        <v>1082</v>
      </c>
      <c r="C295" t="s">
        <v>540</v>
      </c>
      <c r="D295" t="s">
        <v>972</v>
      </c>
      <c r="E295" t="s">
        <v>972</v>
      </c>
      <c r="F295" t="s">
        <v>995</v>
      </c>
      <c r="H295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50-06-009-00</v>
      </c>
      <c r="I295" t="s">
        <v>1264</v>
      </c>
      <c r="J295" t="str">
        <f>VLOOKUP(Table22[[#This Row],[ID Karyawan]],[2]Sheet1!$B$4:$AC$363,13,FALSE)</f>
        <v>Supply Chain</v>
      </c>
    </row>
    <row r="296" spans="1:10" hidden="1">
      <c r="A296" s="2" t="s">
        <v>1035</v>
      </c>
      <c r="B296" s="5" t="s">
        <v>1036</v>
      </c>
      <c r="C296" t="s">
        <v>540</v>
      </c>
      <c r="D296" t="s">
        <v>972</v>
      </c>
      <c r="E296" t="s">
        <v>972</v>
      </c>
      <c r="F296" t="s">
        <v>995</v>
      </c>
      <c r="H296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50-06-009-00</v>
      </c>
      <c r="I296" t="s">
        <v>1264</v>
      </c>
      <c r="J296" t="str">
        <f>VLOOKUP(Table22[[#This Row],[ID Karyawan]],[2]Sheet1!$B$4:$AC$363,13,FALSE)</f>
        <v>Supply Chain</v>
      </c>
    </row>
    <row r="297" spans="1:10" hidden="1">
      <c r="A297" s="2" t="s">
        <v>1047</v>
      </c>
      <c r="B297" s="5" t="s">
        <v>1048</v>
      </c>
      <c r="C297" t="s">
        <v>540</v>
      </c>
      <c r="D297" t="s">
        <v>972</v>
      </c>
      <c r="E297" t="s">
        <v>972</v>
      </c>
      <c r="F297" t="s">
        <v>995</v>
      </c>
      <c r="H297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50-06-009-00</v>
      </c>
      <c r="I297" t="s">
        <v>1264</v>
      </c>
      <c r="J297" t="str">
        <f>VLOOKUP(Table22[[#This Row],[ID Karyawan]],[2]Sheet1!$B$4:$AC$363,13,FALSE)</f>
        <v>Supply Chain</v>
      </c>
    </row>
    <row r="298" spans="1:10" hidden="1">
      <c r="A298" s="2" t="s">
        <v>1011</v>
      </c>
      <c r="B298" s="5" t="s">
        <v>1012</v>
      </c>
      <c r="C298" t="s">
        <v>540</v>
      </c>
      <c r="D298" t="s">
        <v>972</v>
      </c>
      <c r="E298" t="s">
        <v>972</v>
      </c>
      <c r="F298" t="s">
        <v>995</v>
      </c>
      <c r="H298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50-06-009-00</v>
      </c>
      <c r="I298" t="s">
        <v>1264</v>
      </c>
      <c r="J298" t="str">
        <f>VLOOKUP(Table22[[#This Row],[ID Karyawan]],[2]Sheet1!$B$4:$AC$363,13,FALSE)</f>
        <v>Supply Chain</v>
      </c>
    </row>
    <row r="299" spans="1:10" hidden="1">
      <c r="A299" s="2" t="s">
        <v>1056</v>
      </c>
      <c r="B299" s="5" t="s">
        <v>1057</v>
      </c>
      <c r="C299" t="s">
        <v>540</v>
      </c>
      <c r="D299" t="s">
        <v>972</v>
      </c>
      <c r="E299" t="s">
        <v>972</v>
      </c>
      <c r="F299" t="s">
        <v>995</v>
      </c>
      <c r="H299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50-06-009-00</v>
      </c>
      <c r="I299" t="s">
        <v>1264</v>
      </c>
      <c r="J299" t="str">
        <f>VLOOKUP(Table22[[#This Row],[ID Karyawan]],[2]Sheet1!$B$4:$AC$363,13,FALSE)</f>
        <v>Supply Chain</v>
      </c>
    </row>
    <row r="300" spans="1:10" hidden="1">
      <c r="A300" s="2" t="s">
        <v>1051</v>
      </c>
      <c r="B300" s="5" t="s">
        <v>1052</v>
      </c>
      <c r="C300" t="s">
        <v>540</v>
      </c>
      <c r="D300" t="s">
        <v>972</v>
      </c>
      <c r="E300" t="s">
        <v>972</v>
      </c>
      <c r="F300" t="s">
        <v>995</v>
      </c>
      <c r="H300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50-06-009-00</v>
      </c>
      <c r="I300" t="s">
        <v>1264</v>
      </c>
      <c r="J300" t="str">
        <f>VLOOKUP(Table22[[#This Row],[ID Karyawan]],[2]Sheet1!$B$4:$AC$363,13,FALSE)</f>
        <v>Supply Chain</v>
      </c>
    </row>
    <row r="301" spans="1:10" hidden="1">
      <c r="A301" s="2" t="s">
        <v>1015</v>
      </c>
      <c r="B301" s="5" t="s">
        <v>1016</v>
      </c>
      <c r="C301" t="s">
        <v>540</v>
      </c>
      <c r="D301" t="s">
        <v>972</v>
      </c>
      <c r="E301" t="s">
        <v>972</v>
      </c>
      <c r="F301" t="s">
        <v>995</v>
      </c>
      <c r="H301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50-06-009-00</v>
      </c>
      <c r="I301" t="s">
        <v>1264</v>
      </c>
      <c r="J301" t="str">
        <f>VLOOKUP(Table22[[#This Row],[ID Karyawan]],[2]Sheet1!$B$4:$AC$363,13,FALSE)</f>
        <v>Supply Chain</v>
      </c>
    </row>
    <row r="302" spans="1:10" hidden="1">
      <c r="A302" s="2" t="s">
        <v>899</v>
      </c>
      <c r="B302" s="5" t="s">
        <v>900</v>
      </c>
      <c r="C302" t="s">
        <v>540</v>
      </c>
      <c r="D302" t="s">
        <v>972</v>
      </c>
      <c r="E302" t="s">
        <v>972</v>
      </c>
      <c r="F302" t="s">
        <v>995</v>
      </c>
      <c r="H302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50-06-009-00</v>
      </c>
      <c r="I302" t="s">
        <v>1264</v>
      </c>
      <c r="J302" t="str">
        <f>VLOOKUP(Table22[[#This Row],[ID Karyawan]],[2]Sheet1!$B$4:$AC$363,13,FALSE)</f>
        <v>HRD &amp; GA</v>
      </c>
    </row>
    <row r="303" spans="1:10" hidden="1">
      <c r="A303" s="2" t="s">
        <v>1033</v>
      </c>
      <c r="B303" s="5" t="s">
        <v>1034</v>
      </c>
      <c r="C303" t="s">
        <v>540</v>
      </c>
      <c r="D303" t="s">
        <v>972</v>
      </c>
      <c r="E303" t="s">
        <v>972</v>
      </c>
      <c r="F303" t="s">
        <v>995</v>
      </c>
      <c r="H303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50-06-009-00</v>
      </c>
      <c r="I303" t="s">
        <v>1264</v>
      </c>
      <c r="J303" t="str">
        <f>VLOOKUP(Table22[[#This Row],[ID Karyawan]],[2]Sheet1!$B$4:$AC$363,13,FALSE)</f>
        <v>Supply Chain</v>
      </c>
    </row>
    <row r="304" spans="1:10" hidden="1">
      <c r="A304" s="2" t="s">
        <v>1031</v>
      </c>
      <c r="B304" s="5" t="s">
        <v>1032</v>
      </c>
      <c r="C304" t="s">
        <v>540</v>
      </c>
      <c r="D304" t="s">
        <v>972</v>
      </c>
      <c r="E304" t="s">
        <v>972</v>
      </c>
      <c r="F304" t="s">
        <v>995</v>
      </c>
      <c r="H304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50-06-009-00</v>
      </c>
      <c r="I304" t="s">
        <v>1264</v>
      </c>
      <c r="J304" t="str">
        <f>VLOOKUP(Table22[[#This Row],[ID Karyawan]],[2]Sheet1!$B$4:$AC$363,13,FALSE)</f>
        <v>Supply Chain</v>
      </c>
    </row>
    <row r="305" spans="1:10" hidden="1">
      <c r="A305" s="2" t="s">
        <v>996</v>
      </c>
      <c r="B305" s="5" t="s">
        <v>997</v>
      </c>
      <c r="C305" t="s">
        <v>540</v>
      </c>
      <c r="D305" t="s">
        <v>972</v>
      </c>
      <c r="E305" t="s">
        <v>972</v>
      </c>
      <c r="F305" t="s">
        <v>995</v>
      </c>
      <c r="H305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50-06-009-00</v>
      </c>
      <c r="I305" t="s">
        <v>1264</v>
      </c>
      <c r="J305" t="str">
        <f>VLOOKUP(Table22[[#This Row],[ID Karyawan]],[2]Sheet1!$B$4:$AC$363,13,FALSE)</f>
        <v>Supply Chain</v>
      </c>
    </row>
    <row r="306" spans="1:10" hidden="1">
      <c r="A306" s="2" t="s">
        <v>1001</v>
      </c>
      <c r="B306" s="5" t="s">
        <v>1002</v>
      </c>
      <c r="C306" t="s">
        <v>540</v>
      </c>
      <c r="D306" t="s">
        <v>972</v>
      </c>
      <c r="E306" t="s">
        <v>972</v>
      </c>
      <c r="F306" t="s">
        <v>995</v>
      </c>
      <c r="H306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50-06-009-00</v>
      </c>
      <c r="I306" t="s">
        <v>1264</v>
      </c>
      <c r="J306" t="str">
        <f>VLOOKUP(Table22[[#This Row],[ID Karyawan]],[2]Sheet1!$B$4:$AC$363,13,FALSE)</f>
        <v>Supply Chain</v>
      </c>
    </row>
    <row r="307" spans="1:10" hidden="1">
      <c r="A307" s="2" t="s">
        <v>1068</v>
      </c>
      <c r="B307" s="5" t="s">
        <v>1069</v>
      </c>
      <c r="C307" t="s">
        <v>540</v>
      </c>
      <c r="D307" t="s">
        <v>972</v>
      </c>
      <c r="E307" t="s">
        <v>972</v>
      </c>
      <c r="F307" t="s">
        <v>995</v>
      </c>
      <c r="H307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50-06-009-00</v>
      </c>
      <c r="I307" t="s">
        <v>1264</v>
      </c>
      <c r="J307" t="str">
        <f>VLOOKUP(Table22[[#This Row],[ID Karyawan]],[2]Sheet1!$B$4:$AC$363,13,FALSE)</f>
        <v>Supply Chain</v>
      </c>
    </row>
    <row r="308" spans="1:10" hidden="1">
      <c r="A308" s="2" t="s">
        <v>1066</v>
      </c>
      <c r="B308" s="5" t="s">
        <v>1067</v>
      </c>
      <c r="C308" t="s">
        <v>540</v>
      </c>
      <c r="D308" t="s">
        <v>972</v>
      </c>
      <c r="E308" t="s">
        <v>972</v>
      </c>
      <c r="F308" t="s">
        <v>995</v>
      </c>
      <c r="H308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50-06-009-00</v>
      </c>
      <c r="I308" t="s">
        <v>1264</v>
      </c>
      <c r="J308" t="str">
        <f>VLOOKUP(Table22[[#This Row],[ID Karyawan]],[2]Sheet1!$B$4:$AC$363,13,FALSE)</f>
        <v>Supply Chain</v>
      </c>
    </row>
    <row r="309" spans="1:10" hidden="1">
      <c r="A309" s="2" t="s">
        <v>1021</v>
      </c>
      <c r="B309" s="5" t="s">
        <v>1022</v>
      </c>
      <c r="C309" t="s">
        <v>540</v>
      </c>
      <c r="D309" t="s">
        <v>972</v>
      </c>
      <c r="E309" t="s">
        <v>972</v>
      </c>
      <c r="F309" t="s">
        <v>995</v>
      </c>
      <c r="H309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50-06-009-00</v>
      </c>
      <c r="I309" t="s">
        <v>1264</v>
      </c>
      <c r="J309" t="str">
        <f>VLOOKUP(Table22[[#This Row],[ID Karyawan]],[2]Sheet1!$B$4:$AC$363,13,FALSE)</f>
        <v>Supply Chain</v>
      </c>
    </row>
    <row r="310" spans="1:10" hidden="1">
      <c r="A310" s="2" t="s">
        <v>1027</v>
      </c>
      <c r="B310" s="5" t="s">
        <v>1028</v>
      </c>
      <c r="C310" t="s">
        <v>540</v>
      </c>
      <c r="D310" t="s">
        <v>972</v>
      </c>
      <c r="E310" t="s">
        <v>972</v>
      </c>
      <c r="F310" t="s">
        <v>995</v>
      </c>
      <c r="H310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50-06-009-00</v>
      </c>
      <c r="I310" t="s">
        <v>1264</v>
      </c>
      <c r="J310" t="str">
        <f>VLOOKUP(Table22[[#This Row],[ID Karyawan]],[2]Sheet1!$B$4:$AC$363,13,FALSE)</f>
        <v>Supply Chain</v>
      </c>
    </row>
    <row r="311" spans="1:10" hidden="1">
      <c r="A311" s="2" t="s">
        <v>1017</v>
      </c>
      <c r="B311" s="5" t="s">
        <v>1018</v>
      </c>
      <c r="C311" t="s">
        <v>540</v>
      </c>
      <c r="D311" t="s">
        <v>972</v>
      </c>
      <c r="E311" t="s">
        <v>972</v>
      </c>
      <c r="F311" t="s">
        <v>995</v>
      </c>
      <c r="H311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50-06-009-00</v>
      </c>
      <c r="I311" t="s">
        <v>1264</v>
      </c>
      <c r="J311" t="str">
        <f>VLOOKUP(Table22[[#This Row],[ID Karyawan]],[2]Sheet1!$B$4:$AC$363,13,FALSE)</f>
        <v>Supply Chain</v>
      </c>
    </row>
    <row r="312" spans="1:10" hidden="1">
      <c r="A312" s="2" t="s">
        <v>1089</v>
      </c>
      <c r="B312" s="5" t="s">
        <v>1090</v>
      </c>
      <c r="C312" t="s">
        <v>540</v>
      </c>
      <c r="D312" t="s">
        <v>972</v>
      </c>
      <c r="E312" t="s">
        <v>972</v>
      </c>
      <c r="F312" t="s">
        <v>995</v>
      </c>
      <c r="H312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50-06-009-00</v>
      </c>
      <c r="I312" t="s">
        <v>1264</v>
      </c>
      <c r="J312" t="str">
        <f>VLOOKUP(Table22[[#This Row],[ID Karyawan]],[2]Sheet1!$B$4:$AC$363,13,FALSE)</f>
        <v>Supply Chain</v>
      </c>
    </row>
    <row r="313" spans="1:10" hidden="1">
      <c r="A313" s="2" t="s">
        <v>1004</v>
      </c>
      <c r="B313" s="5" t="s">
        <v>1005</v>
      </c>
      <c r="C313" t="s">
        <v>540</v>
      </c>
      <c r="D313" t="s">
        <v>972</v>
      </c>
      <c r="E313" t="s">
        <v>972</v>
      </c>
      <c r="F313" t="s">
        <v>995</v>
      </c>
      <c r="H313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50-06-009-00</v>
      </c>
      <c r="I313" t="s">
        <v>1264</v>
      </c>
      <c r="J313" t="str">
        <f>VLOOKUP(Table22[[#This Row],[ID Karyawan]],[2]Sheet1!$B$4:$AC$363,13,FALSE)</f>
        <v>Supply Chain</v>
      </c>
    </row>
    <row r="314" spans="1:10" hidden="1">
      <c r="A314" s="2" t="s">
        <v>1083</v>
      </c>
      <c r="B314" s="5" t="s">
        <v>1084</v>
      </c>
      <c r="C314" t="s">
        <v>540</v>
      </c>
      <c r="D314" t="s">
        <v>972</v>
      </c>
      <c r="E314" t="s">
        <v>972</v>
      </c>
      <c r="F314" t="s">
        <v>995</v>
      </c>
      <c r="H314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50-06-009-00</v>
      </c>
      <c r="I314" t="s">
        <v>1264</v>
      </c>
      <c r="J314" t="str">
        <f>VLOOKUP(Table22[[#This Row],[ID Karyawan]],[2]Sheet1!$B$4:$AC$363,13,FALSE)</f>
        <v>Supply Chain</v>
      </c>
    </row>
    <row r="315" spans="1:10" hidden="1">
      <c r="A315" s="2" t="s">
        <v>1025</v>
      </c>
      <c r="B315" s="5" t="s">
        <v>1265</v>
      </c>
      <c r="C315" t="s">
        <v>540</v>
      </c>
      <c r="D315" t="s">
        <v>972</v>
      </c>
      <c r="E315" t="s">
        <v>972</v>
      </c>
      <c r="F315" t="s">
        <v>995</v>
      </c>
      <c r="H315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50-06-009-00</v>
      </c>
      <c r="I315" t="s">
        <v>1264</v>
      </c>
      <c r="J315" t="str">
        <f>VLOOKUP(Table22[[#This Row],[ID Karyawan]],[2]Sheet1!$B$4:$AC$363,13,FALSE)</f>
        <v>Supply Chain</v>
      </c>
    </row>
    <row r="316" spans="1:10" hidden="1">
      <c r="A316" s="2" t="s">
        <v>1099</v>
      </c>
      <c r="B316" s="5" t="s">
        <v>1100</v>
      </c>
      <c r="C316" t="s">
        <v>540</v>
      </c>
      <c r="D316" t="s">
        <v>972</v>
      </c>
      <c r="E316" t="s">
        <v>972</v>
      </c>
      <c r="F316" t="s">
        <v>995</v>
      </c>
      <c r="H316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50-06-009-00</v>
      </c>
      <c r="I316" t="s">
        <v>1264</v>
      </c>
      <c r="J316" t="str">
        <f>VLOOKUP(Table22[[#This Row],[ID Karyawan]],[2]Sheet1!$B$4:$AC$363,13,FALSE)</f>
        <v>Supply Chain</v>
      </c>
    </row>
    <row r="317" spans="1:10" hidden="1">
      <c r="A317" s="2" t="s">
        <v>1037</v>
      </c>
      <c r="B317" s="5" t="s">
        <v>1038</v>
      </c>
      <c r="C317" t="s">
        <v>540</v>
      </c>
      <c r="D317" t="s">
        <v>972</v>
      </c>
      <c r="E317" t="s">
        <v>972</v>
      </c>
      <c r="F317" t="s">
        <v>995</v>
      </c>
      <c r="H317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50-06-009-00</v>
      </c>
      <c r="I317" t="s">
        <v>1264</v>
      </c>
      <c r="J317" t="str">
        <f>VLOOKUP(Table22[[#This Row],[ID Karyawan]],[2]Sheet1!$B$4:$AC$363,13,FALSE)</f>
        <v>Supply Chain</v>
      </c>
    </row>
    <row r="318" spans="1:10" hidden="1">
      <c r="A318" s="2" t="s">
        <v>1060</v>
      </c>
      <c r="B318" s="5" t="s">
        <v>1061</v>
      </c>
      <c r="C318" t="s">
        <v>540</v>
      </c>
      <c r="D318" t="s">
        <v>972</v>
      </c>
      <c r="E318" t="s">
        <v>972</v>
      </c>
      <c r="F318" t="s">
        <v>995</v>
      </c>
      <c r="H318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50-06-009-00</v>
      </c>
      <c r="I318" t="s">
        <v>1264</v>
      </c>
      <c r="J318" t="str">
        <f>VLOOKUP(Table22[[#This Row],[ID Karyawan]],[2]Sheet1!$B$4:$AC$363,13,FALSE)</f>
        <v>Supply Chain</v>
      </c>
    </row>
    <row r="319" spans="1:10" hidden="1">
      <c r="A319" s="2" t="s">
        <v>1064</v>
      </c>
      <c r="B319" s="5" t="s">
        <v>1065</v>
      </c>
      <c r="C319" t="s">
        <v>540</v>
      </c>
      <c r="D319" t="s">
        <v>972</v>
      </c>
      <c r="E319" t="s">
        <v>972</v>
      </c>
      <c r="F319" t="s">
        <v>995</v>
      </c>
      <c r="H319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50-06-009-00</v>
      </c>
      <c r="I319" t="s">
        <v>1264</v>
      </c>
      <c r="J319" t="str">
        <f>VLOOKUP(Table22[[#This Row],[ID Karyawan]],[2]Sheet1!$B$4:$AC$363,13,FALSE)</f>
        <v>Supply Chain</v>
      </c>
    </row>
    <row r="320" spans="1:10" hidden="1">
      <c r="A320" s="2" t="s">
        <v>1092</v>
      </c>
      <c r="B320" s="5" t="s">
        <v>1093</v>
      </c>
      <c r="C320" t="s">
        <v>540</v>
      </c>
      <c r="D320" t="s">
        <v>972</v>
      </c>
      <c r="E320" t="s">
        <v>972</v>
      </c>
      <c r="F320" t="s">
        <v>1091</v>
      </c>
      <c r="H320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50-06-010-00</v>
      </c>
      <c r="I320" t="s">
        <v>1262</v>
      </c>
      <c r="J320" t="str">
        <f>VLOOKUP(Table22[[#This Row],[ID Karyawan]],[2]Sheet1!$B$4:$AC$363,13,FALSE)</f>
        <v>Supply Chain</v>
      </c>
    </row>
    <row r="321" spans="1:10" hidden="1">
      <c r="A321" s="2" t="s">
        <v>1095</v>
      </c>
      <c r="B321" s="5" t="s">
        <v>1096</v>
      </c>
      <c r="C321" t="s">
        <v>540</v>
      </c>
      <c r="D321" t="s">
        <v>972</v>
      </c>
      <c r="E321" t="s">
        <v>972</v>
      </c>
      <c r="F321" t="s">
        <v>1091</v>
      </c>
      <c r="H321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50-06-010-00</v>
      </c>
      <c r="I321" t="s">
        <v>1262</v>
      </c>
      <c r="J321" t="str">
        <f>VLOOKUP(Table22[[#This Row],[ID Karyawan]],[2]Sheet1!$B$4:$AC$363,13,FALSE)</f>
        <v>Supply Chain</v>
      </c>
    </row>
    <row r="322" spans="1:10" hidden="1">
      <c r="A322" s="2" t="s">
        <v>1103</v>
      </c>
      <c r="B322" s="5" t="s">
        <v>1104</v>
      </c>
      <c r="C322" t="s">
        <v>540</v>
      </c>
      <c r="D322" t="s">
        <v>972</v>
      </c>
      <c r="E322" t="s">
        <v>972</v>
      </c>
      <c r="F322" t="s">
        <v>1091</v>
      </c>
      <c r="H322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50-06-010-00</v>
      </c>
      <c r="I322" t="s">
        <v>1262</v>
      </c>
      <c r="J322" t="e">
        <f>VLOOKUP(Table22[[#This Row],[ID Karyawan]],[2]Sheet1!$B$4:$AC$363,13,FALSE)</f>
        <v>#N/A</v>
      </c>
    </row>
    <row r="323" spans="1:10" hidden="1">
      <c r="A323" s="2" t="s">
        <v>1266</v>
      </c>
      <c r="B323" s="5" t="s">
        <v>1106</v>
      </c>
      <c r="C323" t="s">
        <v>71</v>
      </c>
      <c r="D323" t="s">
        <v>972</v>
      </c>
      <c r="E323" t="s">
        <v>972</v>
      </c>
      <c r="F323" t="s">
        <v>1107</v>
      </c>
      <c r="H323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50-06-011-00</v>
      </c>
      <c r="I323" t="s">
        <v>1262</v>
      </c>
      <c r="J323" t="e">
        <f>VLOOKUP(Table22[[#This Row],[ID Karyawan]],[2]Sheet1!$B$4:$AC$363,13,FALSE)</f>
        <v>#N/A</v>
      </c>
    </row>
    <row r="324" spans="1:10" hidden="1">
      <c r="A324" s="2" t="s">
        <v>1267</v>
      </c>
      <c r="B324" s="5" t="s">
        <v>1112</v>
      </c>
      <c r="C324" t="s">
        <v>540</v>
      </c>
      <c r="D324" t="s">
        <v>972</v>
      </c>
      <c r="E324" t="s">
        <v>972</v>
      </c>
      <c r="F324" t="s">
        <v>1107</v>
      </c>
      <c r="H324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50-06-011-00</v>
      </c>
      <c r="I324" t="s">
        <v>1268</v>
      </c>
      <c r="J324" t="e">
        <f>VLOOKUP(Table22[[#This Row],[ID Karyawan]],[2]Sheet1!$B$4:$AC$363,13,FALSE)</f>
        <v>#N/A</v>
      </c>
    </row>
    <row r="325" spans="1:10" hidden="1">
      <c r="A325" s="2" t="s">
        <v>1269</v>
      </c>
      <c r="B325" s="5" t="s">
        <v>1109</v>
      </c>
      <c r="C325" t="s">
        <v>540</v>
      </c>
      <c r="D325" t="s">
        <v>972</v>
      </c>
      <c r="E325" t="s">
        <v>972</v>
      </c>
      <c r="F325" t="s">
        <v>1107</v>
      </c>
      <c r="H325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50-06-011-00</v>
      </c>
      <c r="I325" t="s">
        <v>1268</v>
      </c>
      <c r="J325" t="e">
        <f>VLOOKUP(Table22[[#This Row],[ID Karyawan]],[2]Sheet1!$B$4:$AC$363,13,FALSE)</f>
        <v>#N/A</v>
      </c>
    </row>
    <row r="326" spans="1:10" hidden="1">
      <c r="A326" s="2" t="s">
        <v>1113</v>
      </c>
      <c r="B326" s="5" t="s">
        <v>1114</v>
      </c>
      <c r="C326" t="s">
        <v>702</v>
      </c>
      <c r="D326" t="s">
        <v>972</v>
      </c>
      <c r="E326" t="s">
        <v>972</v>
      </c>
      <c r="F326" t="s">
        <v>1107</v>
      </c>
      <c r="H326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50-06-011-00</v>
      </c>
      <c r="I326" t="s">
        <v>1268</v>
      </c>
      <c r="J326" t="str">
        <f>VLOOKUP(Table22[[#This Row],[ID Karyawan]],[2]Sheet1!$B$4:$AC$363,13,FALSE)</f>
        <v>Supply Chain</v>
      </c>
    </row>
    <row r="327" spans="1:10" hidden="1">
      <c r="A327" t="s">
        <v>63</v>
      </c>
      <c r="B327" t="s">
        <v>64</v>
      </c>
      <c r="C327" t="s">
        <v>65</v>
      </c>
      <c r="D327" t="s">
        <v>1115</v>
      </c>
      <c r="H327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60-00-000-00</v>
      </c>
      <c r="I327" t="s">
        <v>1217</v>
      </c>
      <c r="J327" t="str">
        <f>VLOOKUP(Table22[[#This Row],[ID Karyawan]],[2]Sheet1!$B$4:$AC$363,13,FALSE)</f>
        <v>Manajemen</v>
      </c>
    </row>
    <row r="328" spans="1:10" hidden="1">
      <c r="A328" t="s">
        <v>1116</v>
      </c>
      <c r="B328" t="s">
        <v>1117</v>
      </c>
      <c r="C328" t="s">
        <v>67</v>
      </c>
      <c r="D328" t="s">
        <v>1115</v>
      </c>
      <c r="E328" t="s">
        <v>1115</v>
      </c>
      <c r="H328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60-10-000-00</v>
      </c>
      <c r="I328" t="s">
        <v>1270</v>
      </c>
      <c r="J328" t="str">
        <f>VLOOKUP(Table22[[#This Row],[ID Karyawan]],[2]Sheet1!$B$4:$AC$363,13,FALSE)</f>
        <v>R &amp; D</v>
      </c>
    </row>
    <row r="329" spans="1:10" hidden="1">
      <c r="A329" s="2" t="s">
        <v>1123</v>
      </c>
      <c r="B329" s="5" t="s">
        <v>1124</v>
      </c>
      <c r="C329" t="s">
        <v>540</v>
      </c>
      <c r="D329" t="s">
        <v>1115</v>
      </c>
      <c r="E329" t="s">
        <v>1115</v>
      </c>
      <c r="H329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60-10-000-00</v>
      </c>
      <c r="I329" t="s">
        <v>1271</v>
      </c>
      <c r="J329" t="str">
        <f>VLOOKUP(Table22[[#This Row],[ID Karyawan]],[2]Sheet1!$B$4:$AC$363,13,FALSE)</f>
        <v>R &amp; D</v>
      </c>
    </row>
    <row r="330" spans="1:10" hidden="1">
      <c r="A330" s="2" t="s">
        <v>1126</v>
      </c>
      <c r="B330" s="5" t="s">
        <v>1127</v>
      </c>
      <c r="C330" t="s">
        <v>540</v>
      </c>
      <c r="D330" t="s">
        <v>1115</v>
      </c>
      <c r="E330" t="s">
        <v>1115</v>
      </c>
      <c r="H330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60-10-000-00</v>
      </c>
      <c r="I330" t="s">
        <v>1271</v>
      </c>
      <c r="J330" t="str">
        <f>VLOOKUP(Table22[[#This Row],[ID Karyawan]],[2]Sheet1!$B$4:$AC$363,13,FALSE)</f>
        <v>R &amp; D</v>
      </c>
    </row>
    <row r="331" spans="1:10" hidden="1">
      <c r="A331" s="2" t="s">
        <v>1129</v>
      </c>
      <c r="B331" s="5" t="s">
        <v>1130</v>
      </c>
      <c r="C331" t="s">
        <v>540</v>
      </c>
      <c r="D331" t="s">
        <v>1115</v>
      </c>
      <c r="E331" t="s">
        <v>1115</v>
      </c>
      <c r="H331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60-10-000-00</v>
      </c>
      <c r="I331" t="s">
        <v>1271</v>
      </c>
      <c r="J331" t="str">
        <f>VLOOKUP(Table22[[#This Row],[ID Karyawan]],[2]Sheet1!$B$4:$AC$363,13,FALSE)</f>
        <v>R &amp; D</v>
      </c>
    </row>
    <row r="332" spans="1:10" hidden="1">
      <c r="A332" s="2" t="s">
        <v>1133</v>
      </c>
      <c r="B332" s="5" t="s">
        <v>1134</v>
      </c>
      <c r="C332" t="s">
        <v>540</v>
      </c>
      <c r="D332" t="s">
        <v>1115</v>
      </c>
      <c r="E332" t="s">
        <v>1115</v>
      </c>
      <c r="H332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60-10-000-00</v>
      </c>
      <c r="I332" t="s">
        <v>1271</v>
      </c>
      <c r="J332" t="str">
        <f>VLOOKUP(Table22[[#This Row],[ID Karyawan]],[2]Sheet1!$B$4:$AC$363,13,FALSE)</f>
        <v>R &amp; D</v>
      </c>
    </row>
    <row r="333" spans="1:10" hidden="1">
      <c r="A333" s="2" t="s">
        <v>1131</v>
      </c>
      <c r="B333" s="5" t="s">
        <v>1132</v>
      </c>
      <c r="C333" t="s">
        <v>540</v>
      </c>
      <c r="D333" t="s">
        <v>1115</v>
      </c>
      <c r="E333" t="s">
        <v>1115</v>
      </c>
      <c r="H333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60-10-000-00</v>
      </c>
      <c r="I333" t="s">
        <v>1271</v>
      </c>
      <c r="J333" t="str">
        <f>VLOOKUP(Table22[[#This Row],[ID Karyawan]],[2]Sheet1!$B$4:$AC$363,13,FALSE)</f>
        <v>R &amp; D</v>
      </c>
    </row>
    <row r="334" spans="1:10" hidden="1">
      <c r="A334" s="2" t="s">
        <v>1118</v>
      </c>
      <c r="B334" s="5" t="s">
        <v>1119</v>
      </c>
      <c r="C334" t="s">
        <v>71</v>
      </c>
      <c r="D334" t="s">
        <v>1115</v>
      </c>
      <c r="E334" t="s">
        <v>1115</v>
      </c>
      <c r="H334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60-10-000-00</v>
      </c>
      <c r="I334" t="s">
        <v>1271</v>
      </c>
      <c r="J334" t="str">
        <f>VLOOKUP(Table22[[#This Row],[ID Karyawan]],[2]Sheet1!$B$4:$AC$363,13,FALSE)</f>
        <v>R &amp; D</v>
      </c>
    </row>
    <row r="335" spans="1:10" hidden="1">
      <c r="A335" s="2" t="s">
        <v>1135</v>
      </c>
      <c r="B335" s="5" t="s">
        <v>1136</v>
      </c>
      <c r="C335" t="s">
        <v>702</v>
      </c>
      <c r="D335" t="s">
        <v>1115</v>
      </c>
      <c r="E335" t="s">
        <v>1115</v>
      </c>
      <c r="H335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60-10-000-00</v>
      </c>
      <c r="I335" t="s">
        <v>1271</v>
      </c>
      <c r="J335" t="str">
        <f>VLOOKUP(Table22[[#This Row],[ID Karyawan]],[2]Sheet1!$B$4:$AC$363,13,FALSE)</f>
        <v>R &amp; D</v>
      </c>
    </row>
    <row r="336" spans="1:10" hidden="1">
      <c r="A336" s="2" t="s">
        <v>1138</v>
      </c>
      <c r="B336" s="5" t="s">
        <v>400</v>
      </c>
      <c r="C336" t="s">
        <v>702</v>
      </c>
      <c r="D336" t="s">
        <v>1115</v>
      </c>
      <c r="E336" t="s">
        <v>1115</v>
      </c>
      <c r="H336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60-10-000-00</v>
      </c>
      <c r="I336" t="s">
        <v>1271</v>
      </c>
      <c r="J336" t="str">
        <f>VLOOKUP(Table22[[#This Row],[ID Karyawan]],[2]Sheet1!$B$4:$AC$363,13,FALSE)</f>
        <v>R &amp; D</v>
      </c>
    </row>
    <row r="337" spans="1:10" hidden="1">
      <c r="A337" t="s">
        <v>49</v>
      </c>
      <c r="B337" t="s">
        <v>50</v>
      </c>
      <c r="C337" t="s">
        <v>60</v>
      </c>
      <c r="D337" t="s">
        <v>1139</v>
      </c>
      <c r="H337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70-00-000-00</v>
      </c>
      <c r="I337" t="s">
        <v>1217</v>
      </c>
      <c r="J337" t="str">
        <f>VLOOKUP(Table22[[#This Row],[ID Karyawan]],[2]Sheet1!$B$4:$AC$363,13,FALSE)</f>
        <v>Manajemen</v>
      </c>
    </row>
    <row r="338" spans="1:10" hidden="1">
      <c r="A338" t="s">
        <v>1140</v>
      </c>
      <c r="B338" t="s">
        <v>1141</v>
      </c>
      <c r="C338" t="s">
        <v>67</v>
      </c>
      <c r="D338" t="s">
        <v>1139</v>
      </c>
      <c r="E338" t="s">
        <v>1142</v>
      </c>
      <c r="H338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70-13-000-00</v>
      </c>
      <c r="I338" t="s">
        <v>1272</v>
      </c>
      <c r="J338" t="str">
        <f>VLOOKUP(Table22[[#This Row],[ID Karyawan]],[2]Sheet1!$B$4:$AC$363,13,FALSE)</f>
        <v>Finance&amp;Accounting</v>
      </c>
    </row>
    <row r="339" spans="1:10" hidden="1">
      <c r="A339" t="s">
        <v>1171</v>
      </c>
      <c r="B339" t="s">
        <v>1172</v>
      </c>
      <c r="C339" t="s">
        <v>702</v>
      </c>
      <c r="D339" t="s">
        <v>1139</v>
      </c>
      <c r="E339" t="s">
        <v>1142</v>
      </c>
      <c r="H339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70-13-000-00</v>
      </c>
      <c r="I339" t="s">
        <v>1273</v>
      </c>
      <c r="J339" t="str">
        <f>VLOOKUP(Table22[[#This Row],[ID Karyawan]],[2]Sheet1!$B$4:$AC$363,13,FALSE)</f>
        <v>Finance&amp;Accounting</v>
      </c>
    </row>
    <row r="340" spans="1:10" hidden="1">
      <c r="A340" t="s">
        <v>1160</v>
      </c>
      <c r="B340" t="s">
        <v>1274</v>
      </c>
      <c r="C340" t="s">
        <v>702</v>
      </c>
      <c r="D340" t="s">
        <v>1139</v>
      </c>
      <c r="E340" t="s">
        <v>1142</v>
      </c>
      <c r="H340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70-13-000-00</v>
      </c>
      <c r="I340" t="s">
        <v>1273</v>
      </c>
      <c r="J340" t="str">
        <f>VLOOKUP(Table22[[#This Row],[ID Karyawan]],[2]Sheet1!$B$4:$AC$363,13,FALSE)</f>
        <v>Finance&amp;Accounting</v>
      </c>
    </row>
    <row r="341" spans="1:10" hidden="1">
      <c r="A341" t="s">
        <v>1148</v>
      </c>
      <c r="B341" t="s">
        <v>1149</v>
      </c>
      <c r="C341" t="s">
        <v>702</v>
      </c>
      <c r="D341" t="s">
        <v>1139</v>
      </c>
      <c r="E341" t="s">
        <v>1142</v>
      </c>
      <c r="H341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70-13-000-00</v>
      </c>
      <c r="I341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70-13-000-00</v>
      </c>
      <c r="J341" t="str">
        <f>VLOOKUP(Table22[[#This Row],[ID Karyawan]],[2]Sheet1!$B$4:$AC$363,13,FALSE)</f>
        <v>Finance&amp;Accounting</v>
      </c>
    </row>
    <row r="342" spans="1:10" hidden="1">
      <c r="A342" s="2" t="s">
        <v>1166</v>
      </c>
      <c r="B342" s="5" t="s">
        <v>1167</v>
      </c>
      <c r="C342" t="s">
        <v>702</v>
      </c>
      <c r="D342" t="s">
        <v>1139</v>
      </c>
      <c r="E342" t="s">
        <v>1142</v>
      </c>
      <c r="H342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70-13-000-00</v>
      </c>
      <c r="I342" t="s">
        <v>1273</v>
      </c>
      <c r="J342" t="str">
        <f>VLOOKUP(Table22[[#This Row],[ID Karyawan]],[2]Sheet1!$B$4:$AC$363,13,FALSE)</f>
        <v>Finance&amp;Accounting</v>
      </c>
    </row>
    <row r="343" spans="1:10" hidden="1">
      <c r="A343" t="s">
        <v>1156</v>
      </c>
      <c r="B343" t="s">
        <v>1157</v>
      </c>
      <c r="C343" t="s">
        <v>67</v>
      </c>
      <c r="D343" t="s">
        <v>1139</v>
      </c>
      <c r="E343" t="s">
        <v>1158</v>
      </c>
      <c r="H343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70-14-000-00</v>
      </c>
      <c r="I343" t="s">
        <v>1272</v>
      </c>
      <c r="J343" t="str">
        <f>VLOOKUP(Table22[[#This Row],[ID Karyawan]],[2]Sheet1!$B$4:$AC$363,13,FALSE)</f>
        <v>Finance&amp;Accounting</v>
      </c>
    </row>
    <row r="344" spans="1:10" hidden="1">
      <c r="A344" s="2" t="s">
        <v>1152</v>
      </c>
      <c r="B344" s="5" t="s">
        <v>1153</v>
      </c>
      <c r="C344" t="s">
        <v>540</v>
      </c>
      <c r="D344" t="s">
        <v>1139</v>
      </c>
      <c r="E344" t="s">
        <v>1158</v>
      </c>
      <c r="H344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70-14-000-00</v>
      </c>
      <c r="I344" t="s">
        <v>1273</v>
      </c>
      <c r="J344" t="str">
        <f>VLOOKUP(Table22[[#This Row],[ID Karyawan]],[2]Sheet1!$B$4:$AC$363,13,FALSE)</f>
        <v>Finance&amp;Accounting</v>
      </c>
    </row>
    <row r="345" spans="1:10" hidden="1">
      <c r="A345" s="2" t="s">
        <v>1143</v>
      </c>
      <c r="B345" s="5" t="s">
        <v>1144</v>
      </c>
      <c r="C345" t="s">
        <v>702</v>
      </c>
      <c r="D345" t="s">
        <v>1139</v>
      </c>
      <c r="E345" t="s">
        <v>1158</v>
      </c>
      <c r="H345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70-14-000-00</v>
      </c>
      <c r="I345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70-14-000-00</v>
      </c>
      <c r="J345" t="str">
        <f>VLOOKUP(Table22[[#This Row],[ID Karyawan]],[2]Sheet1!$B$4:$AC$363,13,FALSE)</f>
        <v>Finance&amp;Accounting</v>
      </c>
    </row>
    <row r="346" spans="1:10" hidden="1">
      <c r="A346" t="s">
        <v>1168</v>
      </c>
      <c r="B346" t="s">
        <v>1275</v>
      </c>
      <c r="C346" t="s">
        <v>702</v>
      </c>
      <c r="D346" t="s">
        <v>1139</v>
      </c>
      <c r="E346" t="s">
        <v>1158</v>
      </c>
      <c r="H346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70-14-000-00</v>
      </c>
      <c r="I346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70-14-000-00</v>
      </c>
      <c r="J346" t="str">
        <f>VLOOKUP(Table22[[#This Row],[ID Karyawan]],[2]Sheet1!$B$4:$AC$363,13,FALSE)</f>
        <v>Finance&amp;Accounting</v>
      </c>
    </row>
    <row r="347" spans="1:10" hidden="1">
      <c r="A347" t="s">
        <v>1175</v>
      </c>
      <c r="B347" t="s">
        <v>1176</v>
      </c>
      <c r="C347" t="s">
        <v>67</v>
      </c>
      <c r="D347" t="s">
        <v>1276</v>
      </c>
      <c r="E347" t="s">
        <v>1177</v>
      </c>
      <c r="H347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80-15-000-00</v>
      </c>
      <c r="I347" t="s">
        <v>1272</v>
      </c>
      <c r="J347" t="str">
        <f>VLOOKUP(Table22[[#This Row],[ID Karyawan]],[2]Sheet1!$B$4:$AC$363,13,FALSE)</f>
        <v>Finance&amp;Accounting</v>
      </c>
    </row>
    <row r="348" spans="1:10" hidden="1">
      <c r="A348" t="s">
        <v>1183</v>
      </c>
      <c r="B348" t="s">
        <v>1184</v>
      </c>
      <c r="C348" t="s">
        <v>540</v>
      </c>
      <c r="D348" t="s">
        <v>1276</v>
      </c>
      <c r="E348" t="s">
        <v>1177</v>
      </c>
      <c r="H348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80-15-000-00</v>
      </c>
      <c r="I348" t="s">
        <v>1277</v>
      </c>
      <c r="J348" t="str">
        <f>VLOOKUP(Table22[[#This Row],[ID Karyawan]],[2]Sheet1!$B$4:$AC$363,13,FALSE)</f>
        <v>Finance&amp;Accounting</v>
      </c>
    </row>
    <row r="349" spans="1:10" hidden="1">
      <c r="A349" t="s">
        <v>1180</v>
      </c>
      <c r="B349" t="s">
        <v>1181</v>
      </c>
      <c r="C349" t="s">
        <v>71</v>
      </c>
      <c r="D349" t="s">
        <v>1276</v>
      </c>
      <c r="E349" t="s">
        <v>1177</v>
      </c>
      <c r="H349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80-15-000-00</v>
      </c>
      <c r="I349" t="s">
        <v>1277</v>
      </c>
      <c r="J349" t="str">
        <f>VLOOKUP(Table22[[#This Row],[ID Karyawan]],[2]Sheet1!$B$4:$AC$363,13,FALSE)</f>
        <v>Finance&amp;Accounting</v>
      </c>
    </row>
    <row r="350" spans="1:10" hidden="1">
      <c r="A350" t="s">
        <v>1187</v>
      </c>
      <c r="B350" t="s">
        <v>1278</v>
      </c>
      <c r="C350" t="s">
        <v>60</v>
      </c>
      <c r="D350" t="s">
        <v>1189</v>
      </c>
      <c r="H350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90-00-000-00</v>
      </c>
      <c r="I350" t="s">
        <v>1217</v>
      </c>
      <c r="J350" t="str">
        <f>VLOOKUP(Table22[[#This Row],[ID Karyawan]],[2]Sheet1!$B$4:$AC$363,13,FALSE)</f>
        <v>Sales &amp; Marketing Jakarta</v>
      </c>
    </row>
    <row r="351" spans="1:10" hidden="1">
      <c r="A351" t="s">
        <v>1190</v>
      </c>
      <c r="B351" t="s">
        <v>1191</v>
      </c>
      <c r="C351" t="s">
        <v>551</v>
      </c>
      <c r="D351" t="s">
        <v>1189</v>
      </c>
      <c r="E351" t="s">
        <v>1192</v>
      </c>
      <c r="H351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90-01-000-00</v>
      </c>
      <c r="I351" t="s">
        <v>1279</v>
      </c>
      <c r="J351" t="str">
        <f>VLOOKUP(Table22[[#This Row],[ID Karyawan]],[2]Sheet1!$B$4:$AC$363,13,FALSE)</f>
        <v>Sales &amp; Marketing Jakarta</v>
      </c>
    </row>
    <row r="352" spans="1:10" hidden="1">
      <c r="A352" t="s">
        <v>1199</v>
      </c>
      <c r="B352" t="s">
        <v>1200</v>
      </c>
      <c r="C352" t="s">
        <v>540</v>
      </c>
      <c r="D352" t="s">
        <v>1189</v>
      </c>
      <c r="E352" t="s">
        <v>1192</v>
      </c>
      <c r="F352" t="s">
        <v>1201</v>
      </c>
      <c r="H352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90-01-026-00</v>
      </c>
      <c r="I352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90-01-026-00</v>
      </c>
      <c r="J352" t="str">
        <f>VLOOKUP(Table22[[#This Row],[ID Karyawan]],[2]Sheet1!$B$4:$AC$363,13,FALSE)</f>
        <v>Sales &amp; Marketing Jakarta</v>
      </c>
    </row>
    <row r="353" spans="1:10" hidden="1">
      <c r="A353" t="s">
        <v>1202</v>
      </c>
      <c r="B353" t="s">
        <v>1203</v>
      </c>
      <c r="C353" t="s">
        <v>551</v>
      </c>
      <c r="D353" t="s">
        <v>1189</v>
      </c>
      <c r="E353" t="s">
        <v>1204</v>
      </c>
      <c r="H353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90-02-000-00</v>
      </c>
      <c r="I353" t="s">
        <v>1279</v>
      </c>
      <c r="J353" t="str">
        <f>VLOOKUP(Table22[[#This Row],[ID Karyawan]],[2]Sheet1!$B$4:$AC$363,13,FALSE)</f>
        <v>Sales &amp; Marketing Jakarta</v>
      </c>
    </row>
    <row r="354" spans="1:10" hidden="1">
      <c r="A354" t="s">
        <v>1206</v>
      </c>
      <c r="B354" t="s">
        <v>1207</v>
      </c>
      <c r="C354" t="s">
        <v>970</v>
      </c>
      <c r="D354" t="s">
        <v>1189</v>
      </c>
      <c r="E354" t="s">
        <v>1204</v>
      </c>
      <c r="F354" t="s">
        <v>1197</v>
      </c>
      <c r="H354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90-02-025-00</v>
      </c>
      <c r="I354" t="s">
        <v>1280</v>
      </c>
      <c r="J354" t="str">
        <f>VLOOKUP(Table22[[#This Row],[ID Karyawan]],[2]Sheet1!$B$4:$AC$363,13,FALSE)</f>
        <v>Sales &amp; Marketing Jakarta</v>
      </c>
    </row>
    <row r="355" spans="1:10" hidden="1">
      <c r="A355" t="s">
        <v>1209</v>
      </c>
      <c r="B355" t="s">
        <v>1281</v>
      </c>
      <c r="C355" t="s">
        <v>970</v>
      </c>
      <c r="D355" t="s">
        <v>1189</v>
      </c>
      <c r="E355" t="s">
        <v>1204</v>
      </c>
      <c r="F355" t="s">
        <v>1201</v>
      </c>
      <c r="H355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90-02-026-00</v>
      </c>
      <c r="I355" t="s">
        <v>1280</v>
      </c>
      <c r="J355" t="str">
        <f>VLOOKUP(Table22[[#This Row],[ID Karyawan]],[2]Sheet1!$B$4:$AC$363,13,FALSE)</f>
        <v>Sales &amp; Marketing Jakarta</v>
      </c>
    </row>
    <row r="356" spans="1:10" hidden="1">
      <c r="A356" t="s">
        <v>1190</v>
      </c>
      <c r="B356" t="s">
        <v>1191</v>
      </c>
      <c r="C356" t="s">
        <v>551</v>
      </c>
      <c r="D356" t="s">
        <v>1189</v>
      </c>
      <c r="E356" t="s">
        <v>1211</v>
      </c>
      <c r="H356" t="str">
        <f>IFERROR(VLOOKUP(Table22[[#This Row],[Departemen]],Table3[#All],2,FALSE),"00")&amp;"-"&amp;
IFERROR(VLOOKUP(Table22[[#This Row],[Sub-Departemen]],Table4[#All],2,FALSE),"00")&amp;"-"&amp;
IFERROR(VLOOKUP(Table22[[#This Row],[Section]],Table5[#All],2,FALSE),"000")&amp;"-"&amp;
IFERROR(VLOOKUP(Table22[[#This Row],[Unit]],Table6[#All],2,FALSE),"00")</f>
        <v>90-03-000-00</v>
      </c>
      <c r="I356" t="s">
        <v>1279</v>
      </c>
      <c r="J356" t="str">
        <f>VLOOKUP(Table22[[#This Row],[ID Karyawan]],[2]Sheet1!$B$4:$AC$363,13,FALSE)</f>
        <v>Sales &amp; Marketing Jakarta</v>
      </c>
    </row>
  </sheetData>
  <conditionalFormatting sqref="A37:A39 A42:A66 A68:B274 A275:A315 B275:B356">
    <cfRule type="containsBlanks" dxfId="11" priority="3">
      <formula>LEN(TRIM(A37))=0</formula>
    </cfRule>
  </conditionalFormatting>
  <conditionalFormatting sqref="B37:B39">
    <cfRule type="containsBlanks" dxfId="10" priority="2">
      <formula>LEN(TRIM(B37))=0</formula>
    </cfRule>
  </conditionalFormatting>
  <conditionalFormatting sqref="B42:B66">
    <cfRule type="containsBlanks" dxfId="9" priority="1">
      <formula>LEN(TRIM(B42))=0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D24A2-1C40-497B-99A3-B194FDC35B92}">
  <dimension ref="A1:K57"/>
  <sheetViews>
    <sheetView workbookViewId="0">
      <selection activeCell="D10" sqref="D10"/>
    </sheetView>
  </sheetViews>
  <sheetFormatPr defaultRowHeight="15"/>
  <cols>
    <col min="1" max="1" width="23.5703125" bestFit="1" customWidth="1"/>
    <col min="4" max="4" width="38.28515625" bestFit="1" customWidth="1"/>
    <col min="7" max="7" width="29.28515625" bestFit="1" customWidth="1"/>
    <col min="8" max="8" width="7.85546875" bestFit="1" customWidth="1"/>
    <col min="10" max="10" width="32" bestFit="1" customWidth="1"/>
    <col min="11" max="11" width="7.85546875" bestFit="1" customWidth="1"/>
  </cols>
  <sheetData>
    <row r="1" spans="1:11">
      <c r="A1" t="s">
        <v>7</v>
      </c>
      <c r="B1" t="s">
        <v>1282</v>
      </c>
      <c r="D1" t="s">
        <v>8</v>
      </c>
      <c r="E1" t="s">
        <v>1282</v>
      </c>
      <c r="G1" t="s">
        <v>9</v>
      </c>
      <c r="H1" t="s">
        <v>1282</v>
      </c>
      <c r="J1" t="s">
        <v>10</v>
      </c>
      <c r="K1" t="s">
        <v>1282</v>
      </c>
    </row>
    <row r="2" spans="1:11">
      <c r="A2" t="s">
        <v>61</v>
      </c>
      <c r="B2" s="1" t="s">
        <v>1283</v>
      </c>
      <c r="D2" t="s">
        <v>1192</v>
      </c>
      <c r="E2" s="1" t="s">
        <v>1284</v>
      </c>
      <c r="G2" t="s">
        <v>72</v>
      </c>
      <c r="H2" s="1" t="s">
        <v>1285</v>
      </c>
      <c r="J2" t="s">
        <v>154</v>
      </c>
      <c r="K2" s="1" t="s">
        <v>1285</v>
      </c>
    </row>
    <row r="3" spans="1:11">
      <c r="A3" t="s">
        <v>705</v>
      </c>
      <c r="B3" s="1" t="s">
        <v>1286</v>
      </c>
      <c r="D3" t="s">
        <v>1204</v>
      </c>
      <c r="E3" s="1" t="s">
        <v>1287</v>
      </c>
      <c r="G3" t="s">
        <v>139</v>
      </c>
      <c r="H3" s="1" t="s">
        <v>1288</v>
      </c>
      <c r="J3" t="s">
        <v>228</v>
      </c>
      <c r="K3" s="1" t="s">
        <v>1288</v>
      </c>
    </row>
    <row r="4" spans="1:11">
      <c r="A4" t="s">
        <v>857</v>
      </c>
      <c r="B4" s="1" t="s">
        <v>1289</v>
      </c>
      <c r="D4" t="s">
        <v>1211</v>
      </c>
      <c r="E4" s="1" t="s">
        <v>1290</v>
      </c>
      <c r="G4" t="s">
        <v>403</v>
      </c>
      <c r="H4" s="1" t="s">
        <v>1291</v>
      </c>
      <c r="J4" t="s">
        <v>293</v>
      </c>
      <c r="K4" s="1" t="s">
        <v>1291</v>
      </c>
    </row>
    <row r="5" spans="1:11">
      <c r="A5" t="s">
        <v>972</v>
      </c>
      <c r="B5" s="1" t="s">
        <v>1292</v>
      </c>
      <c r="D5" t="s">
        <v>68</v>
      </c>
      <c r="E5" s="1" t="s">
        <v>1293</v>
      </c>
      <c r="G5" t="s">
        <v>493</v>
      </c>
      <c r="H5" s="1" t="s">
        <v>1294</v>
      </c>
      <c r="J5" t="s">
        <v>365</v>
      </c>
      <c r="K5" s="1" t="s">
        <v>1294</v>
      </c>
    </row>
    <row r="6" spans="1:11">
      <c r="A6" t="s">
        <v>1115</v>
      </c>
      <c r="B6" s="1" t="s">
        <v>1295</v>
      </c>
      <c r="D6" t="s">
        <v>552</v>
      </c>
      <c r="E6" s="1" t="s">
        <v>1296</v>
      </c>
      <c r="G6" t="s">
        <v>560</v>
      </c>
      <c r="H6" s="1" t="s">
        <v>1297</v>
      </c>
      <c r="J6" t="s">
        <v>406</v>
      </c>
      <c r="K6" s="1" t="s">
        <v>1297</v>
      </c>
    </row>
    <row r="7" spans="1:11">
      <c r="A7" t="s">
        <v>1139</v>
      </c>
      <c r="B7" s="1" t="s">
        <v>1298</v>
      </c>
      <c r="D7" t="s">
        <v>972</v>
      </c>
      <c r="E7" s="1" t="s">
        <v>1299</v>
      </c>
      <c r="G7" t="s">
        <v>638</v>
      </c>
      <c r="H7" s="1" t="s">
        <v>1300</v>
      </c>
      <c r="J7" t="s">
        <v>1223</v>
      </c>
      <c r="K7" s="1" t="s">
        <v>1300</v>
      </c>
    </row>
    <row r="8" spans="1:11">
      <c r="A8" t="s">
        <v>1276</v>
      </c>
      <c r="B8" s="1" t="s">
        <v>1301</v>
      </c>
      <c r="D8" t="s">
        <v>1238</v>
      </c>
      <c r="E8" s="1" t="s">
        <v>1302</v>
      </c>
      <c r="G8" t="s">
        <v>691</v>
      </c>
      <c r="H8" s="1" t="s">
        <v>1303</v>
      </c>
      <c r="J8" t="s">
        <v>466</v>
      </c>
      <c r="K8" s="1" t="s">
        <v>1303</v>
      </c>
    </row>
    <row r="9" spans="1:11">
      <c r="A9" t="s">
        <v>1189</v>
      </c>
      <c r="B9" s="1" t="s">
        <v>1304</v>
      </c>
      <c r="D9" t="s">
        <v>708</v>
      </c>
      <c r="E9" s="1" t="s">
        <v>1305</v>
      </c>
      <c r="G9" t="s">
        <v>979</v>
      </c>
      <c r="H9" s="1" t="s">
        <v>1306</v>
      </c>
      <c r="J9" t="s">
        <v>998</v>
      </c>
      <c r="K9" s="1" t="s">
        <v>1306</v>
      </c>
    </row>
    <row r="10" spans="1:11">
      <c r="A10" t="s">
        <v>26</v>
      </c>
      <c r="B10" s="1" t="s">
        <v>1307</v>
      </c>
      <c r="D10" t="s">
        <v>852</v>
      </c>
      <c r="E10" s="1" t="s">
        <v>1308</v>
      </c>
      <c r="G10" t="s">
        <v>995</v>
      </c>
      <c r="H10" s="1" t="s">
        <v>1309</v>
      </c>
      <c r="J10" t="s">
        <v>1006</v>
      </c>
      <c r="K10" s="1" t="s">
        <v>1309</v>
      </c>
    </row>
    <row r="11" spans="1:11">
      <c r="A11" t="s">
        <v>36</v>
      </c>
      <c r="B11" s="1" t="s">
        <v>1284</v>
      </c>
      <c r="D11" t="s">
        <v>1115</v>
      </c>
      <c r="E11" s="1" t="s">
        <v>1310</v>
      </c>
      <c r="G11" t="s">
        <v>1091</v>
      </c>
      <c r="H11" s="1" t="s">
        <v>1311</v>
      </c>
      <c r="J11" t="s">
        <v>1009</v>
      </c>
      <c r="K11" s="1" t="s">
        <v>1311</v>
      </c>
    </row>
    <row r="12" spans="1:11">
      <c r="A12" t="s">
        <v>40</v>
      </c>
      <c r="B12" s="1" t="s">
        <v>1287</v>
      </c>
      <c r="D12" t="s">
        <v>857</v>
      </c>
      <c r="E12" s="1" t="s">
        <v>1312</v>
      </c>
      <c r="G12" t="s">
        <v>1107</v>
      </c>
      <c r="H12" s="1" t="s">
        <v>1313</v>
      </c>
      <c r="J12" t="s">
        <v>717</v>
      </c>
      <c r="K12" s="1" t="s">
        <v>1313</v>
      </c>
    </row>
    <row r="13" spans="1:11">
      <c r="A13" t="s">
        <v>54</v>
      </c>
      <c r="B13" s="1" t="s">
        <v>1290</v>
      </c>
      <c r="D13" t="s">
        <v>967</v>
      </c>
      <c r="E13" s="1" t="s">
        <v>1314</v>
      </c>
      <c r="G13" t="s">
        <v>711</v>
      </c>
      <c r="H13" s="1" t="s">
        <v>1315</v>
      </c>
      <c r="J13" t="s">
        <v>750</v>
      </c>
      <c r="K13" s="1" t="s">
        <v>1315</v>
      </c>
    </row>
    <row r="14" spans="1:11">
      <c r="A14" t="s">
        <v>59</v>
      </c>
      <c r="B14" s="1" t="s">
        <v>1293</v>
      </c>
      <c r="D14" t="s">
        <v>1142</v>
      </c>
      <c r="E14" s="1" t="s">
        <v>1316</v>
      </c>
      <c r="G14" t="s">
        <v>775</v>
      </c>
      <c r="H14" s="1" t="s">
        <v>1317</v>
      </c>
      <c r="J14" t="s">
        <v>764</v>
      </c>
      <c r="K14" s="1" t="s">
        <v>1317</v>
      </c>
    </row>
    <row r="15" spans="1:11">
      <c r="B15" s="1"/>
      <c r="D15" t="s">
        <v>1158</v>
      </c>
      <c r="E15" s="1" t="s">
        <v>1318</v>
      </c>
      <c r="G15" t="s">
        <v>1248</v>
      </c>
      <c r="H15" s="1" t="s">
        <v>1319</v>
      </c>
      <c r="J15" t="s">
        <v>778</v>
      </c>
      <c r="K15" s="1" t="s">
        <v>1319</v>
      </c>
    </row>
    <row r="16" spans="1:11">
      <c r="D16" t="s">
        <v>1177</v>
      </c>
      <c r="E16" s="1" t="s">
        <v>1320</v>
      </c>
      <c r="G16" t="s">
        <v>829</v>
      </c>
      <c r="H16" s="1" t="s">
        <v>1321</v>
      </c>
      <c r="J16" t="s">
        <v>799</v>
      </c>
      <c r="K16" s="1" t="s">
        <v>1321</v>
      </c>
    </row>
    <row r="17" spans="7:11">
      <c r="G17" t="s">
        <v>862</v>
      </c>
      <c r="H17" s="1" t="s">
        <v>1322</v>
      </c>
      <c r="J17" t="s">
        <v>803</v>
      </c>
      <c r="K17" s="1" t="s">
        <v>1322</v>
      </c>
    </row>
    <row r="18" spans="7:11">
      <c r="G18" t="s">
        <v>1258</v>
      </c>
      <c r="H18" s="1" t="s">
        <v>1323</v>
      </c>
      <c r="J18" t="s">
        <v>877</v>
      </c>
      <c r="K18" s="1" t="s">
        <v>1323</v>
      </c>
    </row>
    <row r="19" spans="7:11">
      <c r="G19" t="s">
        <v>874</v>
      </c>
      <c r="H19" s="1" t="s">
        <v>1324</v>
      </c>
      <c r="J19" t="s">
        <v>883</v>
      </c>
      <c r="K19" s="1" t="s">
        <v>1324</v>
      </c>
    </row>
    <row r="20" spans="7:11">
      <c r="G20" t="s">
        <v>929</v>
      </c>
      <c r="H20" s="1" t="s">
        <v>1325</v>
      </c>
      <c r="J20" t="s">
        <v>929</v>
      </c>
      <c r="K20" s="1" t="s">
        <v>1325</v>
      </c>
    </row>
    <row r="21" spans="7:11">
      <c r="G21" t="s">
        <v>1145</v>
      </c>
      <c r="H21" s="1" t="s">
        <v>1326</v>
      </c>
      <c r="J21" t="s">
        <v>949</v>
      </c>
      <c r="K21" s="1" t="s">
        <v>1326</v>
      </c>
    </row>
    <row r="22" spans="7:11">
      <c r="G22" t="s">
        <v>1150</v>
      </c>
      <c r="H22" s="1" t="s">
        <v>1327</v>
      </c>
      <c r="J22" t="s">
        <v>890</v>
      </c>
      <c r="K22" s="1" t="s">
        <v>1327</v>
      </c>
    </row>
    <row r="23" spans="7:11">
      <c r="G23" t="s">
        <v>1162</v>
      </c>
      <c r="H23" s="1" t="s">
        <v>1328</v>
      </c>
      <c r="J23" t="s">
        <v>72</v>
      </c>
      <c r="K23" s="1" t="s">
        <v>1328</v>
      </c>
    </row>
    <row r="24" spans="7:11">
      <c r="G24" t="s">
        <v>1170</v>
      </c>
      <c r="H24" s="1" t="s">
        <v>1329</v>
      </c>
      <c r="J24" t="s">
        <v>88</v>
      </c>
      <c r="K24" s="1" t="s">
        <v>1329</v>
      </c>
    </row>
    <row r="25" spans="7:11">
      <c r="G25" t="s">
        <v>1177</v>
      </c>
      <c r="H25" s="1" t="s">
        <v>1330</v>
      </c>
      <c r="J25" t="s">
        <v>126</v>
      </c>
      <c r="K25" s="1" t="s">
        <v>1330</v>
      </c>
    </row>
    <row r="26" spans="7:11">
      <c r="G26" t="s">
        <v>1197</v>
      </c>
      <c r="H26" s="1" t="s">
        <v>1331</v>
      </c>
      <c r="J26" t="s">
        <v>139</v>
      </c>
      <c r="K26" s="1" t="s">
        <v>1331</v>
      </c>
    </row>
    <row r="27" spans="7:11">
      <c r="G27" t="s">
        <v>1201</v>
      </c>
      <c r="H27" s="1" t="s">
        <v>1332</v>
      </c>
      <c r="J27" t="s">
        <v>403</v>
      </c>
      <c r="K27" s="1" t="s">
        <v>1332</v>
      </c>
    </row>
    <row r="28" spans="7:11">
      <c r="G28" t="s">
        <v>541</v>
      </c>
      <c r="H28" s="1" t="s">
        <v>1333</v>
      </c>
      <c r="J28" t="s">
        <v>493</v>
      </c>
      <c r="K28" s="1" t="s">
        <v>1333</v>
      </c>
    </row>
    <row r="29" spans="7:11">
      <c r="G29" t="s">
        <v>1115</v>
      </c>
      <c r="H29" s="1" t="s">
        <v>1334</v>
      </c>
      <c r="J29" t="s">
        <v>513</v>
      </c>
      <c r="K29" s="1" t="s">
        <v>1334</v>
      </c>
    </row>
    <row r="30" spans="7:11">
      <c r="G30" t="s">
        <v>1137</v>
      </c>
      <c r="H30" s="1" t="s">
        <v>1335</v>
      </c>
      <c r="J30" t="s">
        <v>524</v>
      </c>
      <c r="K30" s="1" t="s">
        <v>1335</v>
      </c>
    </row>
    <row r="31" spans="7:11">
      <c r="G31" t="s">
        <v>839</v>
      </c>
      <c r="H31" s="1" t="s">
        <v>1336</v>
      </c>
      <c r="J31" t="s">
        <v>567</v>
      </c>
      <c r="K31" s="1" t="s">
        <v>1336</v>
      </c>
    </row>
    <row r="32" spans="7:11">
      <c r="G32" t="s">
        <v>949</v>
      </c>
      <c r="H32" s="1" t="s">
        <v>1337</v>
      </c>
      <c r="J32" t="s">
        <v>573</v>
      </c>
      <c r="K32" s="1" t="s">
        <v>1337</v>
      </c>
    </row>
    <row r="33" spans="7:11">
      <c r="G33" t="s">
        <v>967</v>
      </c>
      <c r="H33" s="1" t="s">
        <v>1338</v>
      </c>
      <c r="J33" t="s">
        <v>591</v>
      </c>
      <c r="K33" s="1" t="s">
        <v>1338</v>
      </c>
    </row>
    <row r="34" spans="7:11">
      <c r="G34" t="s">
        <v>964</v>
      </c>
      <c r="H34" s="1" t="s">
        <v>1339</v>
      </c>
      <c r="J34" t="s">
        <v>601</v>
      </c>
      <c r="K34" s="1" t="s">
        <v>1339</v>
      </c>
    </row>
    <row r="35" spans="7:11">
      <c r="G35" t="s">
        <v>703</v>
      </c>
      <c r="H35" s="1" t="s">
        <v>1340</v>
      </c>
      <c r="J35" t="s">
        <v>627</v>
      </c>
      <c r="K35" s="1" t="s">
        <v>1340</v>
      </c>
    </row>
    <row r="36" spans="7:11">
      <c r="J36" t="s">
        <v>638</v>
      </c>
      <c r="K36" s="1" t="s">
        <v>1341</v>
      </c>
    </row>
    <row r="37" spans="7:11">
      <c r="J37" t="s">
        <v>647</v>
      </c>
      <c r="K37" s="1" t="s">
        <v>1342</v>
      </c>
    </row>
    <row r="38" spans="7:11">
      <c r="J38" t="s">
        <v>684</v>
      </c>
      <c r="K38" s="1" t="s">
        <v>1343</v>
      </c>
    </row>
    <row r="39" spans="7:11">
      <c r="J39" t="s">
        <v>687</v>
      </c>
      <c r="K39" s="1" t="s">
        <v>1344</v>
      </c>
    </row>
    <row r="40" spans="7:11">
      <c r="J40" t="s">
        <v>1107</v>
      </c>
      <c r="K40" s="1" t="s">
        <v>1345</v>
      </c>
    </row>
    <row r="41" spans="7:11">
      <c r="J41" t="s">
        <v>979</v>
      </c>
      <c r="K41" s="1" t="s">
        <v>1346</v>
      </c>
    </row>
    <row r="42" spans="7:11">
      <c r="J42" t="s">
        <v>1091</v>
      </c>
      <c r="K42" s="1" t="s">
        <v>1347</v>
      </c>
    </row>
    <row r="43" spans="7:11">
      <c r="J43" t="s">
        <v>1013</v>
      </c>
      <c r="K43" s="1" t="s">
        <v>1348</v>
      </c>
    </row>
    <row r="44" spans="7:11">
      <c r="J44" t="s">
        <v>1039</v>
      </c>
      <c r="K44" s="1" t="s">
        <v>1349</v>
      </c>
    </row>
    <row r="45" spans="7:11">
      <c r="J45" t="s">
        <v>1046</v>
      </c>
      <c r="K45" s="1" t="s">
        <v>1350</v>
      </c>
    </row>
    <row r="46" spans="7:11">
      <c r="J46" t="s">
        <v>1058</v>
      </c>
      <c r="K46" s="1" t="s">
        <v>1351</v>
      </c>
    </row>
    <row r="47" spans="7:11">
      <c r="J47" t="s">
        <v>1085</v>
      </c>
      <c r="K47" s="1" t="s">
        <v>1352</v>
      </c>
    </row>
    <row r="48" spans="7:11">
      <c r="J48" t="s">
        <v>1115</v>
      </c>
      <c r="K48" s="1" t="s">
        <v>1353</v>
      </c>
    </row>
    <row r="49" spans="10:11">
      <c r="J49" t="s">
        <v>711</v>
      </c>
      <c r="K49" s="1" t="s">
        <v>1354</v>
      </c>
    </row>
    <row r="50" spans="10:11">
      <c r="J50" t="s">
        <v>806</v>
      </c>
      <c r="K50" s="1" t="s">
        <v>1355</v>
      </c>
    </row>
    <row r="51" spans="10:11">
      <c r="J51" t="s">
        <v>816</v>
      </c>
      <c r="K51" s="1" t="s">
        <v>1356</v>
      </c>
    </row>
    <row r="52" spans="10:11">
      <c r="J52" t="s">
        <v>833</v>
      </c>
      <c r="K52" s="1" t="s">
        <v>1357</v>
      </c>
    </row>
    <row r="53" spans="10:11">
      <c r="J53" t="s">
        <v>870</v>
      </c>
      <c r="K53" s="1" t="s">
        <v>1358</v>
      </c>
    </row>
    <row r="54" spans="10:11">
      <c r="J54" t="s">
        <v>911</v>
      </c>
      <c r="K54" s="1" t="s">
        <v>1359</v>
      </c>
    </row>
    <row r="55" spans="10:11">
      <c r="J55" t="s">
        <v>920</v>
      </c>
      <c r="K55" s="1" t="s">
        <v>1360</v>
      </c>
    </row>
    <row r="56" spans="10:11">
      <c r="J56" t="s">
        <v>1185</v>
      </c>
      <c r="K56" s="1" t="s">
        <v>1361</v>
      </c>
    </row>
    <row r="57" spans="10:11">
      <c r="J57" t="s">
        <v>1215</v>
      </c>
      <c r="K57" s="1" t="s">
        <v>1362</v>
      </c>
    </row>
  </sheetData>
  <phoneticPr fontId="1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Putra Yogasara</dc:creator>
  <cp:keywords/>
  <dc:description/>
  <cp:lastModifiedBy/>
  <cp:revision/>
  <dcterms:created xsi:type="dcterms:W3CDTF">2026-09-03T04:29:23Z</dcterms:created>
  <dcterms:modified xsi:type="dcterms:W3CDTF">2026-10-13T10:13:18Z</dcterms:modified>
  <cp:category/>
  <cp:contentStatus/>
</cp:coreProperties>
</file>